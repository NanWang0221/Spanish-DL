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asurements" sheetId="1" state="visible" r:id="rId3"/>
    <sheet name="Summary" sheetId="2" state="visible" r:id="rId4"/>
    <sheet name="Notes &amp; Metho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<sst xmlns="http://schemas.openxmlformats.org/spreadsheetml/2006/main" count="252" uniqueCount="151">
  <si>
    <t xml:space="preserve">pair</t>
  </si>
  <si>
    <t xml:space="preserve">file</t>
  </si>
  <si>
    <t xml:space="preserve">VOT (ms)</t>
  </si>
  <si>
    <t xml:space="preserve">file dur (ms)</t>
  </si>
  <si>
    <t xml:space="preserve">vowel onset (s)</t>
  </si>
  <si>
    <t xml:space="preserve">vowel dur (ms)</t>
  </si>
  <si>
    <t xml:space="preserve">f0 onset mean (Hz)</t>
  </si>
  <si>
    <t xml:space="preserve">f0 mean (Hz)</t>
  </si>
  <si>
    <t xml:space="preserve">f0 median (Hz)</t>
  </si>
  <si>
    <t xml:space="preserve">f0 min (Hz)</t>
  </si>
  <si>
    <t xml:space="preserve">f0 max (Hz)</t>
  </si>
  <si>
    <t xml:space="preserve">f0 SD (Hz)</t>
  </si>
  <si>
    <t xml:space="preserve">f0_1</t>
  </si>
  <si>
    <t xml:space="preserve">f0_2</t>
  </si>
  <si>
    <t xml:space="preserve">f0_3</t>
  </si>
  <si>
    <t xml:space="preserve">f0_4</t>
  </si>
  <si>
    <t xml:space="preserve">f0_5</t>
  </si>
  <si>
    <t xml:space="preserve">f0_6</t>
  </si>
  <si>
    <t xml:space="preserve">f0_7</t>
  </si>
  <si>
    <t xml:space="preserve">f0_8</t>
  </si>
  <si>
    <t xml:space="preserve">f0_9</t>
  </si>
  <si>
    <t xml:space="preserve">f0_10</t>
  </si>
  <si>
    <t xml:space="preserve">dill_till</t>
  </si>
  <si>
    <t xml:space="preserve">dill_-100</t>
  </si>
  <si>
    <t xml:space="preserve">dill_-50</t>
  </si>
  <si>
    <t xml:space="preserve">dill_-20</t>
  </si>
  <si>
    <t xml:space="preserve">dill_-15</t>
  </si>
  <si>
    <t xml:space="preserve">dill_-10</t>
  </si>
  <si>
    <t xml:space="preserve">dill_-5</t>
  </si>
  <si>
    <t xml:space="preserve">dill_0</t>
  </si>
  <si>
    <t xml:space="preserve">dill_5</t>
  </si>
  <si>
    <t xml:space="preserve">dill_10</t>
  </si>
  <si>
    <t xml:space="preserve">dill_15</t>
  </si>
  <si>
    <t xml:space="preserve">dill_20</t>
  </si>
  <si>
    <t xml:space="preserve">dill_25</t>
  </si>
  <si>
    <t xml:space="preserve">dill_30</t>
  </si>
  <si>
    <t xml:space="preserve">dill_35</t>
  </si>
  <si>
    <t xml:space="preserve">dill_40</t>
  </si>
  <si>
    <t xml:space="preserve">dill_45</t>
  </si>
  <si>
    <t xml:space="preserve">dill_50</t>
  </si>
  <si>
    <t xml:space="preserve">dill_55</t>
  </si>
  <si>
    <t xml:space="preserve">dill_60</t>
  </si>
  <si>
    <t xml:space="preserve">dill_65</t>
  </si>
  <si>
    <t xml:space="preserve">dill_70</t>
  </si>
  <si>
    <t xml:space="preserve">dill_75</t>
  </si>
  <si>
    <t xml:space="preserve">dill_80</t>
  </si>
  <si>
    <t xml:space="preserve">dill_85</t>
  </si>
  <si>
    <t xml:space="preserve">dill_90</t>
  </si>
  <si>
    <t xml:space="preserve">dill_95</t>
  </si>
  <si>
    <t xml:space="preserve">dill_100</t>
  </si>
  <si>
    <t xml:space="preserve">dill_105</t>
  </si>
  <si>
    <t xml:space="preserve">dill_110</t>
  </si>
  <si>
    <t xml:space="preserve">dill_115</t>
  </si>
  <si>
    <t xml:space="preserve">dill_120</t>
  </si>
  <si>
    <t xml:space="preserve">dill_125</t>
  </si>
  <si>
    <t xml:space="preserve">dill_130</t>
  </si>
  <si>
    <t xml:space="preserve">din_tin</t>
  </si>
  <si>
    <t xml:space="preserve">din_-100</t>
  </si>
  <si>
    <t xml:space="preserve">din_-50</t>
  </si>
  <si>
    <t xml:space="preserve">din_-20</t>
  </si>
  <si>
    <t xml:space="preserve">din_-15</t>
  </si>
  <si>
    <t xml:space="preserve">din_-10</t>
  </si>
  <si>
    <t xml:space="preserve">din_-5</t>
  </si>
  <si>
    <t xml:space="preserve">din_0</t>
  </si>
  <si>
    <t xml:space="preserve">din_5</t>
  </si>
  <si>
    <t xml:space="preserve">din_10</t>
  </si>
  <si>
    <t xml:space="preserve">din_15</t>
  </si>
  <si>
    <t xml:space="preserve">din_20</t>
  </si>
  <si>
    <t xml:space="preserve">din_25</t>
  </si>
  <si>
    <t xml:space="preserve">din_30</t>
  </si>
  <si>
    <t xml:space="preserve">din_35</t>
  </si>
  <si>
    <t xml:space="preserve">din_40</t>
  </si>
  <si>
    <t xml:space="preserve">din_45</t>
  </si>
  <si>
    <t xml:space="preserve">din_50</t>
  </si>
  <si>
    <t xml:space="preserve">din_55</t>
  </si>
  <si>
    <t xml:space="preserve">din_60</t>
  </si>
  <si>
    <t xml:space="preserve">din_65</t>
  </si>
  <si>
    <t xml:space="preserve">din_70</t>
  </si>
  <si>
    <t xml:space="preserve">din_75</t>
  </si>
  <si>
    <t xml:space="preserve">din_80</t>
  </si>
  <si>
    <t xml:space="preserve">din_85</t>
  </si>
  <si>
    <t xml:space="preserve">din_90</t>
  </si>
  <si>
    <t xml:space="preserve">din_95</t>
  </si>
  <si>
    <t xml:space="preserve">din_100</t>
  </si>
  <si>
    <t xml:space="preserve">din_105</t>
  </si>
  <si>
    <t xml:space="preserve">din_110</t>
  </si>
  <si>
    <t xml:space="preserve">din_115</t>
  </si>
  <si>
    <t xml:space="preserve">din_120</t>
  </si>
  <si>
    <t xml:space="preserve">din_125</t>
  </si>
  <si>
    <t xml:space="preserve">din_130</t>
  </si>
  <si>
    <t xml:space="preserve">dip_tip</t>
  </si>
  <si>
    <t xml:space="preserve">dip_-100</t>
  </si>
  <si>
    <t xml:space="preserve">dip_-50</t>
  </si>
  <si>
    <t xml:space="preserve">dip_-20</t>
  </si>
  <si>
    <t xml:space="preserve">dip_-15</t>
  </si>
  <si>
    <t xml:space="preserve">dip_-10</t>
  </si>
  <si>
    <t xml:space="preserve">dip_-5</t>
  </si>
  <si>
    <t xml:space="preserve">dip_0</t>
  </si>
  <si>
    <t xml:space="preserve">dip_5</t>
  </si>
  <si>
    <t xml:space="preserve">dip_10</t>
  </si>
  <si>
    <t xml:space="preserve">dip_15</t>
  </si>
  <si>
    <t xml:space="preserve">dip_20</t>
  </si>
  <si>
    <t xml:space="preserve">dip_25</t>
  </si>
  <si>
    <t xml:space="preserve">dip_30</t>
  </si>
  <si>
    <t xml:space="preserve">dip_35</t>
  </si>
  <si>
    <t xml:space="preserve">dip_40</t>
  </si>
  <si>
    <t xml:space="preserve">dip_45</t>
  </si>
  <si>
    <t xml:space="preserve">dip_50</t>
  </si>
  <si>
    <t xml:space="preserve">dip_55</t>
  </si>
  <si>
    <t xml:space="preserve">dip_60</t>
  </si>
  <si>
    <t xml:space="preserve">dip_65</t>
  </si>
  <si>
    <t xml:space="preserve">dip_70</t>
  </si>
  <si>
    <t xml:space="preserve">dip_75</t>
  </si>
  <si>
    <t xml:space="preserve">dip_80</t>
  </si>
  <si>
    <t xml:space="preserve">dip_85</t>
  </si>
  <si>
    <t xml:space="preserve">dip_90</t>
  </si>
  <si>
    <t xml:space="preserve">dip_95</t>
  </si>
  <si>
    <t xml:space="preserve">dip_100</t>
  </si>
  <si>
    <t xml:space="preserve">dip_105</t>
  </si>
  <si>
    <t xml:space="preserve">dip_110</t>
  </si>
  <si>
    <t xml:space="preserve">dip_115</t>
  </si>
  <si>
    <t xml:space="preserve">dip_120</t>
  </si>
  <si>
    <t xml:space="preserve">dip_125</t>
  </si>
  <si>
    <t xml:space="preserve">dip_130</t>
  </si>
  <si>
    <t xml:space="preserve">Per-continuum summary (formulas reference the Measurements sheet)</t>
  </si>
  <si>
    <t xml:space="preserve">continuum</t>
  </si>
  <si>
    <t xml:space="preserve">n files</t>
  </si>
  <si>
    <t xml:space="preserve">VOT range (ms)</t>
  </si>
  <si>
    <t xml:space="preserve">mean file dur (ms)</t>
  </si>
  <si>
    <t xml:space="preserve">mean vowel dur (ms)</t>
  </si>
  <si>
    <t xml:space="preserve">mean f0 onset (Hz)</t>
  </si>
  <si>
    <t xml:space="preserve">min f0 onset</t>
  </si>
  <si>
    <t xml:space="preserve">max f0 onset</t>
  </si>
  <si>
    <t xml:space="preserve">mean f0 (Hz)</t>
  </si>
  <si>
    <t xml:space="preserve">min f0 mean</t>
  </si>
  <si>
    <t xml:space="preserve">max f0 mean</t>
  </si>
  <si>
    <t xml:space="preserve">-100 to 130</t>
  </si>
  <si>
    <t xml:space="preserve">Cue analysis of d–t VOT-continuum stimuli</t>
  </si>
  <si>
    <t xml:space="preserve">Source stimuli: stimuli/d-t/{dill_till, din_tin, dip_tip}/!final VOT continuum_selected_70dBnormed/  (33 files each, 99 total).</t>
  </si>
  <si>
    <t xml:space="preserve">Analysis adapted from data/Chodroff2017/cueAnalysis_engCVC.praat.</t>
  </si>
  <si>
    <t xml:space="preserve">Why the original script could not be run directly:</t>
  </si>
  <si>
    <t xml:space="preserve">  The Chodroff script reads stop-release and vowel boundaries from paired *_autovot.TextGrid files and measures VOT / sonorant duration / F0 from those intervals. These continuum folders contain only .wav files (no TextGrids), so the boundary-dependent steps have nothing to read. The measurement logic was therefore re-implemented on the waveforms using Praat's own engine (parselmouth).</t>
  </si>
  <si>
    <t xml:space="preserve">How each value was obtained:</t>
  </si>
  <si>
    <t xml:space="preserve">  VOT (ms): taken from the number encoded in each filename — the designed continuum step. Negative = voicing lead / prevoicing, positive = long-lag (aspiration).</t>
  </si>
  <si>
    <t xml:space="preserve">  file dur (ms): total duration of the .wav file. It is V-shaped in VOT (minimum near VOT = 0) because prevoicing or aspiration is prepended before the shared vowel, so more |VOT| = a longer file.</t>
  </si>
  <si>
    <t xml:space="preserve">  vowel onset / vowel dur: the vocalic nucleus is located by an intensity threshold (within 10 dB of each file's intensity peak, sustained ≥ 25 ms). This one rule works for the /l/, /n/ and /p/ codas and for both prevoiced and aspirated tokens. Without hand-corrected TextGrids these boundaries are estimates, not gold-standard.</t>
  </si>
  <si>
    <t xml:space="preserve">  F0: Praat 'To Pitch... 0.0 75 600' (floor 75 Hz, ceiling 600 Hz), exactly as in the original script. f0_1..f0_10 are F0 sampled every 5 ms across the first 50 ms of the vowel (Chodroff-style); f0 onset mean is their average; f0 mean/median/min/max/SD summarize the whole vowel nucleus.</t>
  </si>
  <si>
    <t xml:space="preserve">Data-quality flags:</t>
  </si>
  <si>
    <t xml:space="preserve">  • dill_-100.wav is byte-for-byte identical to dill_0.wav (same MD5, same 338.75 ms duration). It is a duplicate / placeholder, NOT a true -100 ms prevoiced token. In din_tin and dip_tip the -100 files are correctly the longest in the set. Recommend re-rendering dill_-100. Its row is included but its acoustics equal dill_0.</t>
  </si>
  <si>
    <t xml:space="preserve">  • All other 98 files are unique waveforms and form clean continua.</t>
  </si>
  <si>
    <t xml:space="preserve">  • Vowel-onset F0 rises modestly with VOT (~101 → 107-109 Hz). Part of this is the expected voiceless-stop f0-raising micro-pattern; part is that longer aspiration masks the earliest (lower-F0) part of the vowel, so the first voiced sample falls later.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</si>
</sst>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00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1" min="10" style="0" width="11"/>
    <col collapsed="false" customWidth="true" hidden="false" outlineLevel="0" max="12" min="12" style="0" width="10"/>
    <col collapsed="false" customWidth="true" hidden="false" outlineLevel="0" max="22" min="13" style="0" width="8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15" hidden="false" customHeight="false" outlineLevel="0" collapsed="false">
      <c r="A2" s="2" t="s">
        <v>22</v>
      </c>
      <c r="B2" s="2" t="s">
        <v>23</v>
      </c>
      <c r="C2" s="3" t="n">
        <v>-100</v>
      </c>
      <c r="D2" s="4" t="n">
        <v>338.75</v>
      </c>
      <c r="E2" s="5" t="n">
        <v>0.03</v>
      </c>
      <c r="F2" s="4" t="n">
        <v>225</v>
      </c>
      <c r="G2" s="6" t="n">
        <v>101.8</v>
      </c>
      <c r="H2" s="6" t="n">
        <v>98.7</v>
      </c>
      <c r="I2" s="6" t="n">
        <v>97.66</v>
      </c>
      <c r="J2" s="6" t="n">
        <v>96.77</v>
      </c>
      <c r="K2" s="6" t="n">
        <v>104</v>
      </c>
      <c r="L2" s="6" t="n">
        <v>2.01</v>
      </c>
      <c r="M2" s="6" t="n">
        <v>103.69</v>
      </c>
      <c r="N2" s="6" t="n">
        <v>103.39</v>
      </c>
      <c r="O2" s="6" t="n">
        <v>103.06</v>
      </c>
      <c r="P2" s="6" t="n">
        <v>102.43</v>
      </c>
      <c r="Q2" s="6" t="n">
        <v>101.83</v>
      </c>
      <c r="R2" s="6" t="n">
        <v>101.4</v>
      </c>
      <c r="S2" s="6" t="n">
        <v>100.99</v>
      </c>
      <c r="T2" s="6" t="n">
        <v>100.73</v>
      </c>
      <c r="U2" s="6" t="n">
        <v>100.44</v>
      </c>
      <c r="V2" s="6" t="n">
        <v>100.04</v>
      </c>
    </row>
    <row r="3" customFormat="false" ht="15" hidden="false" customHeight="false" outlineLevel="0" collapsed="false">
      <c r="A3" s="2" t="s">
        <v>22</v>
      </c>
      <c r="B3" s="2" t="s">
        <v>24</v>
      </c>
      <c r="C3" s="3" t="n">
        <v>-50</v>
      </c>
      <c r="D3" s="4" t="n">
        <v>388.75</v>
      </c>
      <c r="E3" s="5" t="n">
        <v>0.055</v>
      </c>
      <c r="F3" s="4" t="n">
        <v>250</v>
      </c>
      <c r="G3" s="6" t="n">
        <v>103.75</v>
      </c>
      <c r="H3" s="6" t="n">
        <v>99.3</v>
      </c>
      <c r="I3" s="6" t="n">
        <v>97.67</v>
      </c>
      <c r="J3" s="6" t="n">
        <v>96.77</v>
      </c>
      <c r="K3" s="6" t="n">
        <v>105.73</v>
      </c>
      <c r="L3" s="6" t="n">
        <v>2.67</v>
      </c>
      <c r="M3" s="6" t="n">
        <v>105.29</v>
      </c>
      <c r="N3" s="6" t="n">
        <v>104.87</v>
      </c>
      <c r="O3" s="6" t="n">
        <v>104.6</v>
      </c>
      <c r="P3" s="6" t="n">
        <v>104.31</v>
      </c>
      <c r="Q3" s="6" t="n">
        <v>104</v>
      </c>
      <c r="R3" s="6" t="n">
        <v>103.69</v>
      </c>
      <c r="S3" s="6" t="n">
        <v>103.39</v>
      </c>
      <c r="T3" s="6" t="n">
        <v>103.06</v>
      </c>
      <c r="U3" s="6" t="n">
        <v>102.43</v>
      </c>
      <c r="V3" s="6" t="n">
        <v>101.83</v>
      </c>
    </row>
    <row r="4" customFormat="false" ht="15" hidden="false" customHeight="false" outlineLevel="0" collapsed="false">
      <c r="A4" s="2" t="s">
        <v>22</v>
      </c>
      <c r="B4" s="2" t="s">
        <v>25</v>
      </c>
      <c r="C4" s="3" t="n">
        <v>-20</v>
      </c>
      <c r="D4" s="4" t="n">
        <v>358.75</v>
      </c>
      <c r="E4" s="5" t="n">
        <v>0.035</v>
      </c>
      <c r="F4" s="4" t="n">
        <v>240</v>
      </c>
      <c r="G4" s="6" t="n">
        <v>102.97</v>
      </c>
      <c r="H4" s="6" t="n">
        <v>99.06</v>
      </c>
      <c r="I4" s="6" t="n">
        <v>97.66</v>
      </c>
      <c r="J4" s="6" t="n">
        <v>96.77</v>
      </c>
      <c r="K4" s="6" t="n">
        <v>104.87</v>
      </c>
      <c r="L4" s="6" t="n">
        <v>2.41</v>
      </c>
      <c r="M4" s="6" t="n">
        <v>104.59</v>
      </c>
      <c r="N4" s="6" t="n">
        <v>104.31</v>
      </c>
      <c r="O4" s="6" t="n">
        <v>104</v>
      </c>
      <c r="P4" s="6" t="n">
        <v>103.69</v>
      </c>
      <c r="Q4" s="6" t="n">
        <v>103.39</v>
      </c>
      <c r="R4" s="6" t="n">
        <v>103.06</v>
      </c>
      <c r="S4" s="6" t="n">
        <v>102.43</v>
      </c>
      <c r="T4" s="6" t="n">
        <v>101.83</v>
      </c>
      <c r="U4" s="6" t="n">
        <v>101.4</v>
      </c>
      <c r="V4" s="6" t="n">
        <v>100.99</v>
      </c>
    </row>
    <row r="5" customFormat="false" ht="15" hidden="false" customHeight="false" outlineLevel="0" collapsed="false">
      <c r="A5" s="2" t="s">
        <v>22</v>
      </c>
      <c r="B5" s="2" t="s">
        <v>26</v>
      </c>
      <c r="C5" s="3" t="n">
        <v>-15</v>
      </c>
      <c r="D5" s="4" t="n">
        <v>353.74</v>
      </c>
      <c r="E5" s="5" t="n">
        <v>0.03</v>
      </c>
      <c r="F5" s="4" t="n">
        <v>240</v>
      </c>
      <c r="G5" s="6" t="n">
        <v>103.02</v>
      </c>
      <c r="H5" s="6" t="n">
        <v>99.07</v>
      </c>
      <c r="I5" s="6" t="n">
        <v>97.76</v>
      </c>
      <c r="J5" s="6" t="n">
        <v>96.82</v>
      </c>
      <c r="K5" s="6" t="n">
        <v>104.94</v>
      </c>
      <c r="L5" s="6" t="n">
        <v>2.43</v>
      </c>
      <c r="M5" s="6" t="n">
        <v>104.62</v>
      </c>
      <c r="N5" s="6" t="n">
        <v>104.32</v>
      </c>
      <c r="O5" s="6" t="n">
        <v>104</v>
      </c>
      <c r="P5" s="6" t="n">
        <v>103.66</v>
      </c>
      <c r="Q5" s="6" t="n">
        <v>103.37</v>
      </c>
      <c r="R5" s="6" t="n">
        <v>103.12</v>
      </c>
      <c r="S5" s="6" t="n">
        <v>102.63</v>
      </c>
      <c r="T5" s="6" t="n">
        <v>101.99</v>
      </c>
      <c r="U5" s="6" t="n">
        <v>101.48</v>
      </c>
      <c r="V5" s="6" t="n">
        <v>101.04</v>
      </c>
    </row>
    <row r="6" customFormat="false" ht="15" hidden="false" customHeight="false" outlineLevel="0" collapsed="false">
      <c r="A6" s="2" t="s">
        <v>22</v>
      </c>
      <c r="B6" s="2" t="s">
        <v>27</v>
      </c>
      <c r="C6" s="3" t="n">
        <v>-10</v>
      </c>
      <c r="D6" s="4" t="n">
        <v>348.75</v>
      </c>
      <c r="E6" s="5" t="n">
        <v>0.035</v>
      </c>
      <c r="F6" s="4" t="n">
        <v>230</v>
      </c>
      <c r="G6" s="6" t="n">
        <v>102.2</v>
      </c>
      <c r="H6" s="6" t="n">
        <v>98.81</v>
      </c>
      <c r="I6" s="6" t="n">
        <v>97.66</v>
      </c>
      <c r="J6" s="6" t="n">
        <v>96.77</v>
      </c>
      <c r="K6" s="6" t="n">
        <v>104.31</v>
      </c>
      <c r="L6" s="6" t="n">
        <v>2.15</v>
      </c>
      <c r="M6" s="6" t="n">
        <v>104</v>
      </c>
      <c r="N6" s="6" t="n">
        <v>103.69</v>
      </c>
      <c r="O6" s="6" t="n">
        <v>103.39</v>
      </c>
      <c r="P6" s="6" t="n">
        <v>103.06</v>
      </c>
      <c r="Q6" s="6" t="n">
        <v>102.43</v>
      </c>
      <c r="R6" s="6" t="n">
        <v>101.83</v>
      </c>
      <c r="S6" s="6" t="n">
        <v>101.4</v>
      </c>
      <c r="T6" s="6" t="n">
        <v>100.99</v>
      </c>
      <c r="U6" s="6" t="n">
        <v>100.73</v>
      </c>
      <c r="V6" s="6" t="n">
        <v>100.44</v>
      </c>
    </row>
    <row r="7" customFormat="false" ht="15" hidden="false" customHeight="false" outlineLevel="0" collapsed="false">
      <c r="A7" s="2" t="s">
        <v>22</v>
      </c>
      <c r="B7" s="2" t="s">
        <v>28</v>
      </c>
      <c r="C7" s="3" t="n">
        <v>-5</v>
      </c>
      <c r="D7" s="4" t="n">
        <v>343.76</v>
      </c>
      <c r="E7" s="5" t="n">
        <v>0.035</v>
      </c>
      <c r="F7" s="4" t="n">
        <v>225</v>
      </c>
      <c r="G7" s="6" t="n">
        <v>101.85</v>
      </c>
      <c r="H7" s="6" t="n">
        <v>98.71</v>
      </c>
      <c r="I7" s="6" t="n">
        <v>97.68</v>
      </c>
      <c r="J7" s="6" t="n">
        <v>96.82</v>
      </c>
      <c r="K7" s="6" t="n">
        <v>104</v>
      </c>
      <c r="L7" s="6" t="n">
        <v>2.03</v>
      </c>
      <c r="M7" s="6" t="n">
        <v>103.66</v>
      </c>
      <c r="N7" s="6" t="n">
        <v>103.38</v>
      </c>
      <c r="O7" s="6" t="n">
        <v>103.12</v>
      </c>
      <c r="P7" s="6" t="n">
        <v>102.63</v>
      </c>
      <c r="Q7" s="6" t="n">
        <v>101.99</v>
      </c>
      <c r="R7" s="6" t="n">
        <v>101.48</v>
      </c>
      <c r="S7" s="6" t="n">
        <v>101.04</v>
      </c>
      <c r="T7" s="6" t="n">
        <v>100.69</v>
      </c>
      <c r="U7" s="6" t="n">
        <v>100.39</v>
      </c>
      <c r="V7" s="6" t="n">
        <v>100.06</v>
      </c>
    </row>
    <row r="8" customFormat="false" ht="15" hidden="false" customHeight="false" outlineLevel="0" collapsed="false">
      <c r="A8" s="2" t="s">
        <v>22</v>
      </c>
      <c r="B8" s="2" t="s">
        <v>29</v>
      </c>
      <c r="C8" s="3" t="n">
        <v>0</v>
      </c>
      <c r="D8" s="4" t="n">
        <v>338.75</v>
      </c>
      <c r="E8" s="5" t="n">
        <v>0.03</v>
      </c>
      <c r="F8" s="4" t="n">
        <v>225</v>
      </c>
      <c r="G8" s="6" t="n">
        <v>101.8</v>
      </c>
      <c r="H8" s="6" t="n">
        <v>98.7</v>
      </c>
      <c r="I8" s="6" t="n">
        <v>97.66</v>
      </c>
      <c r="J8" s="6" t="n">
        <v>96.77</v>
      </c>
      <c r="K8" s="6" t="n">
        <v>104</v>
      </c>
      <c r="L8" s="6" t="n">
        <v>2.01</v>
      </c>
      <c r="M8" s="6" t="n">
        <v>103.69</v>
      </c>
      <c r="N8" s="6" t="n">
        <v>103.39</v>
      </c>
      <c r="O8" s="6" t="n">
        <v>103.06</v>
      </c>
      <c r="P8" s="6" t="n">
        <v>102.43</v>
      </c>
      <c r="Q8" s="6" t="n">
        <v>101.83</v>
      </c>
      <c r="R8" s="6" t="n">
        <v>101.4</v>
      </c>
      <c r="S8" s="6" t="n">
        <v>100.99</v>
      </c>
      <c r="T8" s="6" t="n">
        <v>100.73</v>
      </c>
      <c r="U8" s="6" t="n">
        <v>100.44</v>
      </c>
      <c r="V8" s="6" t="n">
        <v>100.04</v>
      </c>
    </row>
    <row r="9" customFormat="false" ht="15" hidden="false" customHeight="false" outlineLevel="0" collapsed="false">
      <c r="A9" s="2" t="s">
        <v>22</v>
      </c>
      <c r="B9" s="2" t="s">
        <v>30</v>
      </c>
      <c r="C9" s="3" t="n">
        <v>5</v>
      </c>
      <c r="D9" s="4" t="n">
        <v>338.73</v>
      </c>
      <c r="E9" s="5" t="n">
        <v>0.03</v>
      </c>
      <c r="F9" s="4" t="n">
        <v>225</v>
      </c>
      <c r="G9" s="6" t="n">
        <v>101.93</v>
      </c>
      <c r="H9" s="6" t="n">
        <v>98.72</v>
      </c>
      <c r="I9" s="6" t="n">
        <v>97.7</v>
      </c>
      <c r="J9" s="6" t="n">
        <v>96.86</v>
      </c>
      <c r="K9" s="6" t="n">
        <v>104.19</v>
      </c>
      <c r="L9" s="6" t="n">
        <v>2.08</v>
      </c>
      <c r="M9" s="6" t="n">
        <v>103.92</v>
      </c>
      <c r="N9" s="6" t="n">
        <v>103.7</v>
      </c>
      <c r="O9" s="6" t="n">
        <v>103.41</v>
      </c>
      <c r="P9" s="6" t="n">
        <v>102.59</v>
      </c>
      <c r="Q9" s="6" t="n">
        <v>101.82</v>
      </c>
      <c r="R9" s="6" t="n">
        <v>101.44</v>
      </c>
      <c r="S9" s="6" t="n">
        <v>101.07</v>
      </c>
      <c r="T9" s="6" t="n">
        <v>100.79</v>
      </c>
      <c r="U9" s="6" t="n">
        <v>100.49</v>
      </c>
      <c r="V9" s="6" t="n">
        <v>100.07</v>
      </c>
    </row>
    <row r="10" customFormat="false" ht="15" hidden="false" customHeight="false" outlineLevel="0" collapsed="false">
      <c r="A10" s="2" t="s">
        <v>22</v>
      </c>
      <c r="B10" s="2" t="s">
        <v>31</v>
      </c>
      <c r="C10" s="3" t="n">
        <v>10</v>
      </c>
      <c r="D10" s="4" t="n">
        <v>343.11</v>
      </c>
      <c r="E10" s="5" t="n">
        <v>0.035</v>
      </c>
      <c r="F10" s="4" t="n">
        <v>220</v>
      </c>
      <c r="G10" s="6" t="n">
        <v>101.87</v>
      </c>
      <c r="H10" s="6" t="n">
        <v>98.73</v>
      </c>
      <c r="I10" s="6" t="n">
        <v>97.71</v>
      </c>
      <c r="J10" s="6" t="n">
        <v>96.9</v>
      </c>
      <c r="K10" s="6" t="n">
        <v>104.36</v>
      </c>
      <c r="L10" s="6" t="n">
        <v>2.08</v>
      </c>
      <c r="M10" s="6" t="n">
        <v>104.08</v>
      </c>
      <c r="N10" s="6" t="n">
        <v>103.58</v>
      </c>
      <c r="O10" s="6" t="n">
        <v>102.97</v>
      </c>
      <c r="P10" s="6" t="n">
        <v>102.43</v>
      </c>
      <c r="Q10" s="6" t="n">
        <v>101.91</v>
      </c>
      <c r="R10" s="6" t="n">
        <v>101.54</v>
      </c>
      <c r="S10" s="6" t="n">
        <v>101.24</v>
      </c>
      <c r="T10" s="6" t="n">
        <v>100.79</v>
      </c>
      <c r="U10" s="6" t="n">
        <v>100.26</v>
      </c>
      <c r="V10" s="6" t="n">
        <v>99.88</v>
      </c>
    </row>
    <row r="11" customFormat="false" ht="15" hidden="false" customHeight="false" outlineLevel="0" collapsed="false">
      <c r="A11" s="2" t="s">
        <v>22</v>
      </c>
      <c r="B11" s="2" t="s">
        <v>32</v>
      </c>
      <c r="C11" s="3" t="n">
        <v>15</v>
      </c>
      <c r="D11" s="4" t="n">
        <v>346.44</v>
      </c>
      <c r="E11" s="5" t="n">
        <v>0.03</v>
      </c>
      <c r="F11" s="4" t="n">
        <v>230</v>
      </c>
      <c r="G11" s="6" t="n">
        <v>102.98</v>
      </c>
      <c r="H11" s="6" t="n">
        <v>99.04</v>
      </c>
      <c r="I11" s="6" t="n">
        <v>97.78</v>
      </c>
      <c r="J11" s="6" t="n">
        <v>96.89</v>
      </c>
      <c r="K11" s="6" t="n">
        <v>105.31</v>
      </c>
      <c r="L11" s="6" t="n">
        <v>2.48</v>
      </c>
      <c r="M11" s="6" t="n">
        <v>104.98</v>
      </c>
      <c r="N11" s="6" t="n">
        <v>104.6</v>
      </c>
      <c r="O11" s="6" t="n">
        <v>104.24</v>
      </c>
      <c r="P11" s="6" t="n">
        <v>103.89</v>
      </c>
      <c r="Q11" s="6" t="n">
        <v>103.42</v>
      </c>
      <c r="R11" s="6" t="n">
        <v>102.72</v>
      </c>
      <c r="S11" s="6" t="n">
        <v>102.13</v>
      </c>
      <c r="T11" s="6" t="n">
        <v>101.72</v>
      </c>
      <c r="U11" s="6" t="n">
        <v>101.28</v>
      </c>
      <c r="V11" s="6" t="n">
        <v>100.79</v>
      </c>
    </row>
    <row r="12" customFormat="false" ht="15" hidden="false" customHeight="false" outlineLevel="0" collapsed="false">
      <c r="A12" s="2" t="s">
        <v>22</v>
      </c>
      <c r="B12" s="2" t="s">
        <v>33</v>
      </c>
      <c r="C12" s="3" t="n">
        <v>20</v>
      </c>
      <c r="D12" s="4" t="n">
        <v>349.82</v>
      </c>
      <c r="E12" s="5" t="n">
        <v>0.035</v>
      </c>
      <c r="F12" s="4" t="n">
        <v>230</v>
      </c>
      <c r="G12" s="6" t="n">
        <v>103</v>
      </c>
      <c r="H12" s="6" t="n">
        <v>99.02</v>
      </c>
      <c r="I12" s="6" t="n">
        <v>97.7</v>
      </c>
      <c r="J12" s="6" t="n">
        <v>96.86</v>
      </c>
      <c r="K12" s="6" t="n">
        <v>105.45</v>
      </c>
      <c r="L12" s="6" t="n">
        <v>2.51</v>
      </c>
      <c r="M12" s="6" t="n">
        <v>105.08</v>
      </c>
      <c r="N12" s="6" t="n">
        <v>104.71</v>
      </c>
      <c r="O12" s="6" t="n">
        <v>104.43</v>
      </c>
      <c r="P12" s="6" t="n">
        <v>104.15</v>
      </c>
      <c r="Q12" s="6" t="n">
        <v>103.38</v>
      </c>
      <c r="R12" s="6" t="n">
        <v>102.61</v>
      </c>
      <c r="S12" s="6" t="n">
        <v>102.08</v>
      </c>
      <c r="T12" s="6" t="n">
        <v>101.54</v>
      </c>
      <c r="U12" s="6" t="n">
        <v>101.19</v>
      </c>
      <c r="V12" s="6" t="n">
        <v>100.83</v>
      </c>
    </row>
    <row r="13" customFormat="false" ht="15" hidden="false" customHeight="false" outlineLevel="0" collapsed="false">
      <c r="A13" s="2" t="s">
        <v>22</v>
      </c>
      <c r="B13" s="2" t="s">
        <v>34</v>
      </c>
      <c r="C13" s="3" t="n">
        <v>25</v>
      </c>
      <c r="D13" s="4" t="n">
        <v>353.15</v>
      </c>
      <c r="E13" s="5" t="n">
        <v>0.03</v>
      </c>
      <c r="F13" s="4" t="n">
        <v>235</v>
      </c>
      <c r="G13" s="6" t="n">
        <v>103.77</v>
      </c>
      <c r="H13" s="6" t="n">
        <v>99.28</v>
      </c>
      <c r="I13" s="6" t="n">
        <v>97.73</v>
      </c>
      <c r="J13" s="6" t="n">
        <v>96.9</v>
      </c>
      <c r="K13" s="6" t="n">
        <v>106.28</v>
      </c>
      <c r="L13" s="6" t="n">
        <v>2.79</v>
      </c>
      <c r="M13" s="6" t="n">
        <v>105.93</v>
      </c>
      <c r="N13" s="6" t="n">
        <v>105.43</v>
      </c>
      <c r="O13" s="6" t="n">
        <v>105.08</v>
      </c>
      <c r="P13" s="6" t="n">
        <v>104.8</v>
      </c>
      <c r="Q13" s="6" t="n">
        <v>104.24</v>
      </c>
      <c r="R13" s="6" t="n">
        <v>103.54</v>
      </c>
      <c r="S13" s="6" t="n">
        <v>102.94</v>
      </c>
      <c r="T13" s="6" t="n">
        <v>102.39</v>
      </c>
      <c r="U13" s="6" t="n">
        <v>101.91</v>
      </c>
      <c r="V13" s="6" t="n">
        <v>101.48</v>
      </c>
    </row>
    <row r="14" customFormat="false" ht="15" hidden="false" customHeight="false" outlineLevel="0" collapsed="false">
      <c r="A14" s="2" t="s">
        <v>22</v>
      </c>
      <c r="B14" s="2" t="s">
        <v>35</v>
      </c>
      <c r="C14" s="3" t="n">
        <v>30</v>
      </c>
      <c r="D14" s="4" t="n">
        <v>356.51</v>
      </c>
      <c r="E14" s="5" t="n">
        <v>0.035</v>
      </c>
      <c r="F14" s="4" t="n">
        <v>235</v>
      </c>
      <c r="G14" s="6" t="n">
        <v>103.89</v>
      </c>
      <c r="H14" s="6" t="n">
        <v>99.29</v>
      </c>
      <c r="I14" s="6" t="n">
        <v>97.72</v>
      </c>
      <c r="J14" s="6" t="n">
        <v>96.78</v>
      </c>
      <c r="K14" s="6" t="n">
        <v>106.51</v>
      </c>
      <c r="L14" s="6" t="n">
        <v>2.85</v>
      </c>
      <c r="M14" s="6" t="n">
        <v>106.12</v>
      </c>
      <c r="N14" s="6" t="n">
        <v>105.73</v>
      </c>
      <c r="O14" s="6" t="n">
        <v>105.33</v>
      </c>
      <c r="P14" s="6" t="n">
        <v>104.89</v>
      </c>
      <c r="Q14" s="6" t="n">
        <v>104.36</v>
      </c>
      <c r="R14" s="6" t="n">
        <v>103.75</v>
      </c>
      <c r="S14" s="6" t="n">
        <v>103</v>
      </c>
      <c r="T14" s="6" t="n">
        <v>102.36</v>
      </c>
      <c r="U14" s="6" t="n">
        <v>101.93</v>
      </c>
      <c r="V14" s="6" t="n">
        <v>101.46</v>
      </c>
    </row>
    <row r="15" customFormat="false" ht="15" hidden="false" customHeight="false" outlineLevel="0" collapsed="false">
      <c r="A15" s="2" t="s">
        <v>22</v>
      </c>
      <c r="B15" s="2" t="s">
        <v>36</v>
      </c>
      <c r="C15" s="3" t="n">
        <v>35</v>
      </c>
      <c r="D15" s="4" t="n">
        <v>359.84</v>
      </c>
      <c r="E15" s="5" t="n">
        <v>0.035</v>
      </c>
      <c r="F15" s="4" t="n">
        <v>235</v>
      </c>
      <c r="G15" s="6" t="n">
        <v>104.55</v>
      </c>
      <c r="H15" s="6" t="n">
        <v>99.49</v>
      </c>
      <c r="I15" s="6" t="n">
        <v>97.72</v>
      </c>
      <c r="J15" s="6" t="n">
        <v>96.77</v>
      </c>
      <c r="K15" s="6" t="n">
        <v>107.1</v>
      </c>
      <c r="L15" s="6" t="n">
        <v>3.11</v>
      </c>
      <c r="M15" s="6" t="n">
        <v>106.66</v>
      </c>
      <c r="N15" s="6" t="n">
        <v>106.22</v>
      </c>
      <c r="O15" s="6" t="n">
        <v>105.82</v>
      </c>
      <c r="P15" s="6" t="n">
        <v>105.42</v>
      </c>
      <c r="Q15" s="6" t="n">
        <v>105.11</v>
      </c>
      <c r="R15" s="6" t="n">
        <v>104.8</v>
      </c>
      <c r="S15" s="6" t="n">
        <v>103.94</v>
      </c>
      <c r="T15" s="6" t="n">
        <v>103.08</v>
      </c>
      <c r="U15" s="6" t="n">
        <v>102.52</v>
      </c>
      <c r="V15" s="6" t="n">
        <v>101.95</v>
      </c>
    </row>
    <row r="16" customFormat="false" ht="15" hidden="false" customHeight="false" outlineLevel="0" collapsed="false">
      <c r="A16" s="2" t="s">
        <v>22</v>
      </c>
      <c r="B16" s="2" t="s">
        <v>37</v>
      </c>
      <c r="C16" s="3" t="n">
        <v>40</v>
      </c>
      <c r="D16" s="4" t="n">
        <v>363.2</v>
      </c>
      <c r="E16" s="5" t="n">
        <v>0.03</v>
      </c>
      <c r="F16" s="4" t="n">
        <v>245</v>
      </c>
      <c r="G16" s="6" t="n">
        <v>105.31</v>
      </c>
      <c r="H16" s="6" t="n">
        <v>99.57</v>
      </c>
      <c r="I16" s="6" t="n">
        <v>97.73</v>
      </c>
      <c r="J16" s="6" t="n">
        <v>96.9</v>
      </c>
      <c r="K16" s="6" t="n">
        <v>107.06</v>
      </c>
      <c r="L16" s="6" t="n">
        <v>3.22</v>
      </c>
      <c r="M16" s="6"/>
      <c r="N16" s="6" t="n">
        <v>107.06</v>
      </c>
      <c r="O16" s="6" t="n">
        <v>106.83</v>
      </c>
      <c r="P16" s="6" t="n">
        <v>106.5</v>
      </c>
      <c r="Q16" s="6" t="n">
        <v>106.09</v>
      </c>
      <c r="R16" s="6" t="n">
        <v>105.65</v>
      </c>
      <c r="S16" s="6" t="n">
        <v>104.99</v>
      </c>
      <c r="T16" s="6" t="n">
        <v>104.24</v>
      </c>
      <c r="U16" s="6" t="n">
        <v>103.55</v>
      </c>
      <c r="V16" s="6" t="n">
        <v>102.89</v>
      </c>
    </row>
    <row r="17" customFormat="false" ht="15" hidden="false" customHeight="false" outlineLevel="0" collapsed="false">
      <c r="A17" s="2" t="s">
        <v>22</v>
      </c>
      <c r="B17" s="2" t="s">
        <v>38</v>
      </c>
      <c r="C17" s="3" t="n">
        <v>45</v>
      </c>
      <c r="D17" s="4" t="n">
        <v>366.55</v>
      </c>
      <c r="E17" s="5" t="n">
        <v>0.04</v>
      </c>
      <c r="F17" s="4" t="n">
        <v>240</v>
      </c>
      <c r="G17" s="6" t="n">
        <v>105.1</v>
      </c>
      <c r="H17" s="6" t="n">
        <v>99.46</v>
      </c>
      <c r="I17" s="6" t="n">
        <v>97.77</v>
      </c>
      <c r="J17" s="6" t="n">
        <v>96.78</v>
      </c>
      <c r="K17" s="6" t="n">
        <v>106.93</v>
      </c>
      <c r="L17" s="6" t="n">
        <v>3.13</v>
      </c>
      <c r="M17" s="6"/>
      <c r="N17" s="6" t="n">
        <v>106.93</v>
      </c>
      <c r="O17" s="6" t="n">
        <v>106.79</v>
      </c>
      <c r="P17" s="6" t="n">
        <v>106.36</v>
      </c>
      <c r="Q17" s="6" t="n">
        <v>105.84</v>
      </c>
      <c r="R17" s="6" t="n">
        <v>105.14</v>
      </c>
      <c r="S17" s="6" t="n">
        <v>104.49</v>
      </c>
      <c r="T17" s="6" t="n">
        <v>103.93</v>
      </c>
      <c r="U17" s="6" t="n">
        <v>103.42</v>
      </c>
      <c r="V17" s="6" t="n">
        <v>103.02</v>
      </c>
    </row>
    <row r="18" customFormat="false" ht="15" hidden="false" customHeight="false" outlineLevel="0" collapsed="false">
      <c r="A18" s="2" t="s">
        <v>22</v>
      </c>
      <c r="B18" s="2" t="s">
        <v>39</v>
      </c>
      <c r="C18" s="3" t="n">
        <v>50</v>
      </c>
      <c r="D18" s="4" t="n">
        <v>369.91</v>
      </c>
      <c r="E18" s="5" t="n">
        <v>0.04</v>
      </c>
      <c r="F18" s="4" t="n">
        <v>240</v>
      </c>
      <c r="G18" s="6" t="n">
        <v>105.73</v>
      </c>
      <c r="H18" s="6" t="n">
        <v>99.62</v>
      </c>
      <c r="I18" s="6" t="n">
        <v>97.72</v>
      </c>
      <c r="J18" s="6" t="n">
        <v>96.9</v>
      </c>
      <c r="K18" s="6" t="n">
        <v>107.21</v>
      </c>
      <c r="L18" s="6" t="n">
        <v>3.31</v>
      </c>
      <c r="M18" s="6"/>
      <c r="N18" s="6" t="n">
        <v>107.21</v>
      </c>
      <c r="O18" s="6" t="n">
        <v>107.2</v>
      </c>
      <c r="P18" s="6" t="n">
        <v>106.83</v>
      </c>
      <c r="Q18" s="6" t="n">
        <v>106.46</v>
      </c>
      <c r="R18" s="6" t="n">
        <v>106.01</v>
      </c>
      <c r="S18" s="6" t="n">
        <v>105.56</v>
      </c>
      <c r="T18" s="6" t="n">
        <v>104.79</v>
      </c>
      <c r="U18" s="6" t="n">
        <v>104.02</v>
      </c>
      <c r="V18" s="6" t="n">
        <v>103.44</v>
      </c>
    </row>
    <row r="19" customFormat="false" ht="15" hidden="false" customHeight="false" outlineLevel="0" collapsed="false">
      <c r="A19" s="2" t="s">
        <v>22</v>
      </c>
      <c r="B19" s="2" t="s">
        <v>40</v>
      </c>
      <c r="C19" s="3" t="n">
        <v>55</v>
      </c>
      <c r="D19" s="4" t="n">
        <v>373.24</v>
      </c>
      <c r="E19" s="5" t="n">
        <v>0.045</v>
      </c>
      <c r="F19" s="4" t="n">
        <v>240</v>
      </c>
      <c r="G19" s="6" t="n">
        <v>105.43</v>
      </c>
      <c r="H19" s="6" t="n">
        <v>99.49</v>
      </c>
      <c r="I19" s="6" t="n">
        <v>97.71</v>
      </c>
      <c r="J19" s="6" t="n">
        <v>96.86</v>
      </c>
      <c r="K19" s="6" t="n">
        <v>107.31</v>
      </c>
      <c r="L19" s="6" t="n">
        <v>3.23</v>
      </c>
      <c r="M19" s="6"/>
      <c r="N19" s="6"/>
      <c r="O19" s="6" t="n">
        <v>107.31</v>
      </c>
      <c r="P19" s="6" t="n">
        <v>107.03</v>
      </c>
      <c r="Q19" s="6" t="n">
        <v>106.61</v>
      </c>
      <c r="R19" s="6" t="n">
        <v>105.95</v>
      </c>
      <c r="S19" s="6" t="n">
        <v>105.17</v>
      </c>
      <c r="T19" s="6" t="n">
        <v>104.44</v>
      </c>
      <c r="U19" s="6" t="n">
        <v>103.72</v>
      </c>
      <c r="V19" s="6" t="n">
        <v>103.19</v>
      </c>
    </row>
    <row r="20" customFormat="false" ht="15" hidden="false" customHeight="false" outlineLevel="0" collapsed="false">
      <c r="A20" s="2" t="s">
        <v>22</v>
      </c>
      <c r="B20" s="2" t="s">
        <v>41</v>
      </c>
      <c r="C20" s="3" t="n">
        <v>60</v>
      </c>
      <c r="D20" s="4" t="n">
        <v>376.6</v>
      </c>
      <c r="E20" s="5" t="n">
        <v>0.05</v>
      </c>
      <c r="F20" s="4" t="n">
        <v>240</v>
      </c>
      <c r="G20" s="6" t="n">
        <v>105.8</v>
      </c>
      <c r="H20" s="6" t="n">
        <v>99.61</v>
      </c>
      <c r="I20" s="6" t="n">
        <v>97.68</v>
      </c>
      <c r="J20" s="6" t="n">
        <v>96.79</v>
      </c>
      <c r="K20" s="6" t="n">
        <v>107.71</v>
      </c>
      <c r="L20" s="6" t="n">
        <v>3.41</v>
      </c>
      <c r="M20" s="6"/>
      <c r="N20" s="6" t="n">
        <v>107.71</v>
      </c>
      <c r="O20" s="6" t="n">
        <v>107.59</v>
      </c>
      <c r="P20" s="6" t="n">
        <v>107.24</v>
      </c>
      <c r="Q20" s="6" t="n">
        <v>106.74</v>
      </c>
      <c r="R20" s="6" t="n">
        <v>105.94</v>
      </c>
      <c r="S20" s="6" t="n">
        <v>105.18</v>
      </c>
      <c r="T20" s="6" t="n">
        <v>104.52</v>
      </c>
      <c r="U20" s="6" t="n">
        <v>103.89</v>
      </c>
      <c r="V20" s="6" t="n">
        <v>103.34</v>
      </c>
    </row>
    <row r="21" customFormat="false" ht="15" hidden="false" customHeight="false" outlineLevel="0" collapsed="false">
      <c r="A21" s="2" t="s">
        <v>22</v>
      </c>
      <c r="B21" s="2" t="s">
        <v>42</v>
      </c>
      <c r="C21" s="3" t="n">
        <v>65</v>
      </c>
      <c r="D21" s="4" t="n">
        <v>379.95</v>
      </c>
      <c r="E21" s="5" t="n">
        <v>0.06</v>
      </c>
      <c r="F21" s="4" t="n">
        <v>230</v>
      </c>
      <c r="G21" s="6" t="n">
        <v>105.63</v>
      </c>
      <c r="H21" s="6" t="n">
        <v>99.79</v>
      </c>
      <c r="I21" s="6" t="n">
        <v>97.75</v>
      </c>
      <c r="J21" s="6" t="n">
        <v>96.88</v>
      </c>
      <c r="K21" s="6" t="n">
        <v>108.13</v>
      </c>
      <c r="L21" s="6" t="n">
        <v>3.61</v>
      </c>
      <c r="M21" s="6" t="n">
        <v>108.13</v>
      </c>
      <c r="N21" s="6" t="n">
        <v>107.71</v>
      </c>
      <c r="O21" s="6" t="n">
        <v>107.3</v>
      </c>
      <c r="P21" s="6" t="n">
        <v>106.76</v>
      </c>
      <c r="Q21" s="6" t="n">
        <v>106.22</v>
      </c>
      <c r="R21" s="6" t="n">
        <v>105.45</v>
      </c>
      <c r="S21" s="6" t="n">
        <v>104.68</v>
      </c>
      <c r="T21" s="6" t="n">
        <v>103.99</v>
      </c>
      <c r="U21" s="6" t="n">
        <v>103.3</v>
      </c>
      <c r="V21" s="6" t="n">
        <v>102.71</v>
      </c>
    </row>
    <row r="22" customFormat="false" ht="15" hidden="false" customHeight="false" outlineLevel="0" collapsed="false">
      <c r="A22" s="2" t="s">
        <v>22</v>
      </c>
      <c r="B22" s="2" t="s">
        <v>43</v>
      </c>
      <c r="C22" s="3" t="n">
        <v>70</v>
      </c>
      <c r="D22" s="4" t="n">
        <v>383.31</v>
      </c>
      <c r="E22" s="5" t="n">
        <v>0.065</v>
      </c>
      <c r="F22" s="4" t="n">
        <v>230</v>
      </c>
      <c r="G22" s="6" t="n">
        <v>105.56</v>
      </c>
      <c r="H22" s="6" t="n">
        <v>99.69</v>
      </c>
      <c r="I22" s="6" t="n">
        <v>97.7</v>
      </c>
      <c r="J22" s="6" t="n">
        <v>96.86</v>
      </c>
      <c r="K22" s="6" t="n">
        <v>107.97</v>
      </c>
      <c r="L22" s="6" t="n">
        <v>3.56</v>
      </c>
      <c r="M22" s="6" t="n">
        <v>107.97</v>
      </c>
      <c r="N22" s="6" t="n">
        <v>107.86</v>
      </c>
      <c r="O22" s="6" t="n">
        <v>107.69</v>
      </c>
      <c r="P22" s="6" t="n">
        <v>107.03</v>
      </c>
      <c r="Q22" s="6" t="n">
        <v>106.13</v>
      </c>
      <c r="R22" s="6" t="n">
        <v>105.19</v>
      </c>
      <c r="S22" s="6" t="n">
        <v>104.22</v>
      </c>
      <c r="T22" s="6" t="n">
        <v>103.63</v>
      </c>
      <c r="U22" s="6" t="n">
        <v>103.22</v>
      </c>
      <c r="V22" s="6" t="n">
        <v>102.67</v>
      </c>
    </row>
    <row r="23" customFormat="false" ht="15" hidden="false" customHeight="false" outlineLevel="0" collapsed="false">
      <c r="A23" s="2" t="s">
        <v>22</v>
      </c>
      <c r="B23" s="2" t="s">
        <v>44</v>
      </c>
      <c r="C23" s="3" t="n">
        <v>75</v>
      </c>
      <c r="D23" s="4" t="n">
        <v>386.64</v>
      </c>
      <c r="E23" s="5" t="n">
        <v>0.065</v>
      </c>
      <c r="F23" s="4" t="n">
        <v>235</v>
      </c>
      <c r="G23" s="6" t="n">
        <v>105.88</v>
      </c>
      <c r="H23" s="6" t="n">
        <v>99.54</v>
      </c>
      <c r="I23" s="6" t="n">
        <v>97.71</v>
      </c>
      <c r="J23" s="6" t="n">
        <v>96.77</v>
      </c>
      <c r="K23" s="6" t="n">
        <v>107.91</v>
      </c>
      <c r="L23" s="6" t="n">
        <v>3.38</v>
      </c>
      <c r="M23" s="6"/>
      <c r="N23" s="6"/>
      <c r="O23" s="6" t="n">
        <v>107.91</v>
      </c>
      <c r="P23" s="6" t="n">
        <v>107.7</v>
      </c>
      <c r="Q23" s="6" t="n">
        <v>107.06</v>
      </c>
      <c r="R23" s="6" t="n">
        <v>106.35</v>
      </c>
      <c r="S23" s="6" t="n">
        <v>105.46</v>
      </c>
      <c r="T23" s="6" t="n">
        <v>104.71</v>
      </c>
      <c r="U23" s="6" t="n">
        <v>104.21</v>
      </c>
      <c r="V23" s="6" t="n">
        <v>103.65</v>
      </c>
    </row>
    <row r="24" customFormat="false" ht="15" hidden="false" customHeight="false" outlineLevel="0" collapsed="false">
      <c r="A24" s="2" t="s">
        <v>22</v>
      </c>
      <c r="B24" s="2" t="s">
        <v>45</v>
      </c>
      <c r="C24" s="3" t="n">
        <v>80</v>
      </c>
      <c r="D24" s="4" t="n">
        <v>390</v>
      </c>
      <c r="E24" s="5" t="n">
        <v>0.07</v>
      </c>
      <c r="F24" s="4" t="n">
        <v>230</v>
      </c>
      <c r="G24" s="6" t="n">
        <v>106.26</v>
      </c>
      <c r="H24" s="6" t="n">
        <v>99.89</v>
      </c>
      <c r="I24" s="6" t="n">
        <v>97.73</v>
      </c>
      <c r="J24" s="6" t="n">
        <v>96.76</v>
      </c>
      <c r="K24" s="6" t="n">
        <v>108.19</v>
      </c>
      <c r="L24" s="6" t="n">
        <v>3.78</v>
      </c>
      <c r="M24" s="6"/>
      <c r="N24" s="6" t="n">
        <v>108.19</v>
      </c>
      <c r="O24" s="6" t="n">
        <v>108.13</v>
      </c>
      <c r="P24" s="6" t="n">
        <v>108.08</v>
      </c>
      <c r="Q24" s="6" t="n">
        <v>107.3</v>
      </c>
      <c r="R24" s="6" t="n">
        <v>106.51</v>
      </c>
      <c r="S24" s="6" t="n">
        <v>105.54</v>
      </c>
      <c r="T24" s="6" t="n">
        <v>104.57</v>
      </c>
      <c r="U24" s="6" t="n">
        <v>104.21</v>
      </c>
      <c r="V24" s="6" t="n">
        <v>103.84</v>
      </c>
    </row>
    <row r="25" customFormat="false" ht="15" hidden="false" customHeight="false" outlineLevel="0" collapsed="false">
      <c r="A25" s="2" t="s">
        <v>22</v>
      </c>
      <c r="B25" s="2" t="s">
        <v>46</v>
      </c>
      <c r="C25" s="3" t="n">
        <v>85</v>
      </c>
      <c r="D25" s="4" t="n">
        <v>393.36</v>
      </c>
      <c r="E25" s="5" t="n">
        <v>0.075</v>
      </c>
      <c r="F25" s="4" t="n">
        <v>230</v>
      </c>
      <c r="G25" s="6" t="n">
        <v>106.57</v>
      </c>
      <c r="H25" s="6" t="n">
        <v>100</v>
      </c>
      <c r="I25" s="6" t="n">
        <v>97.71</v>
      </c>
      <c r="J25" s="6" t="n">
        <v>96.83</v>
      </c>
      <c r="K25" s="6" t="n">
        <v>108.73</v>
      </c>
      <c r="L25" s="6" t="n">
        <v>3.96</v>
      </c>
      <c r="M25" s="6" t="n">
        <v>108.73</v>
      </c>
      <c r="N25" s="6" t="n">
        <v>108.72</v>
      </c>
      <c r="O25" s="6" t="n">
        <v>108.7</v>
      </c>
      <c r="P25" s="6" t="n">
        <v>108.11</v>
      </c>
      <c r="Q25" s="6" t="n">
        <v>107.22</v>
      </c>
      <c r="R25" s="6" t="n">
        <v>106.28</v>
      </c>
      <c r="S25" s="6" t="n">
        <v>105.3</v>
      </c>
      <c r="T25" s="6" t="n">
        <v>104.7</v>
      </c>
      <c r="U25" s="6" t="n">
        <v>104.3</v>
      </c>
      <c r="V25" s="6" t="n">
        <v>103.62</v>
      </c>
    </row>
    <row r="26" customFormat="false" ht="15" hidden="false" customHeight="false" outlineLevel="0" collapsed="false">
      <c r="A26" s="2" t="s">
        <v>22</v>
      </c>
      <c r="B26" s="2" t="s">
        <v>47</v>
      </c>
      <c r="C26" s="3" t="n">
        <v>90</v>
      </c>
      <c r="D26" s="4" t="n">
        <v>396.71</v>
      </c>
      <c r="E26" s="5" t="n">
        <v>0.08</v>
      </c>
      <c r="F26" s="4" t="n">
        <v>230</v>
      </c>
      <c r="G26" s="6" t="n">
        <v>106.46</v>
      </c>
      <c r="H26" s="6" t="n">
        <v>99.74</v>
      </c>
      <c r="I26" s="6" t="n">
        <v>97.72</v>
      </c>
      <c r="J26" s="6" t="n">
        <v>96.84</v>
      </c>
      <c r="K26" s="6" t="n">
        <v>109.06</v>
      </c>
      <c r="L26" s="6" t="n">
        <v>3.75</v>
      </c>
      <c r="M26" s="6"/>
      <c r="N26" s="6" t="n">
        <v>109.06</v>
      </c>
      <c r="O26" s="6" t="n">
        <v>108.8</v>
      </c>
      <c r="P26" s="6" t="n">
        <v>108.04</v>
      </c>
      <c r="Q26" s="6" t="n">
        <v>107.22</v>
      </c>
      <c r="R26" s="6" t="n">
        <v>106.32</v>
      </c>
      <c r="S26" s="6" t="n">
        <v>105.55</v>
      </c>
      <c r="T26" s="6" t="n">
        <v>105.07</v>
      </c>
      <c r="U26" s="6" t="n">
        <v>104.48</v>
      </c>
      <c r="V26" s="6" t="n">
        <v>103.63</v>
      </c>
    </row>
    <row r="27" customFormat="false" ht="15" hidden="false" customHeight="false" outlineLevel="0" collapsed="false">
      <c r="A27" s="2" t="s">
        <v>22</v>
      </c>
      <c r="B27" s="2" t="s">
        <v>48</v>
      </c>
      <c r="C27" s="3" t="n">
        <v>95</v>
      </c>
      <c r="D27" s="4" t="n">
        <v>400.05</v>
      </c>
      <c r="E27" s="5" t="n">
        <v>0.09</v>
      </c>
      <c r="F27" s="4" t="n">
        <v>230</v>
      </c>
      <c r="G27" s="6" t="n">
        <v>105.77</v>
      </c>
      <c r="H27" s="6" t="n">
        <v>99.58</v>
      </c>
      <c r="I27" s="6" t="n">
        <v>97.7</v>
      </c>
      <c r="J27" s="6" t="n">
        <v>96.87</v>
      </c>
      <c r="K27" s="6" t="n">
        <v>108.71</v>
      </c>
      <c r="L27" s="6" t="n">
        <v>3.63</v>
      </c>
      <c r="M27" s="6"/>
      <c r="N27" s="6" t="n">
        <v>108.71</v>
      </c>
      <c r="O27" s="6" t="n">
        <v>108.1</v>
      </c>
      <c r="P27" s="6" t="n">
        <v>107.48</v>
      </c>
      <c r="Q27" s="6" t="n">
        <v>106.48</v>
      </c>
      <c r="R27" s="6" t="n">
        <v>105.48</v>
      </c>
      <c r="S27" s="6" t="n">
        <v>104.98</v>
      </c>
      <c r="T27" s="6" t="n">
        <v>104.47</v>
      </c>
      <c r="U27" s="6" t="n">
        <v>103.55</v>
      </c>
      <c r="V27" s="6" t="n">
        <v>102.62</v>
      </c>
    </row>
    <row r="28" customFormat="false" ht="15" hidden="false" customHeight="false" outlineLevel="0" collapsed="false">
      <c r="A28" s="2" t="s">
        <v>22</v>
      </c>
      <c r="B28" s="2" t="s">
        <v>49</v>
      </c>
      <c r="C28" s="3" t="n">
        <v>100</v>
      </c>
      <c r="D28" s="4" t="n">
        <v>403.4</v>
      </c>
      <c r="E28" s="5" t="n">
        <v>0.09</v>
      </c>
      <c r="F28" s="4" t="n">
        <v>235</v>
      </c>
      <c r="G28" s="6" t="n">
        <v>106.4</v>
      </c>
      <c r="H28" s="6" t="n">
        <v>99.69</v>
      </c>
      <c r="I28" s="6" t="n">
        <v>97.7</v>
      </c>
      <c r="J28" s="6" t="n">
        <v>96.8</v>
      </c>
      <c r="K28" s="6" t="n">
        <v>108.86</v>
      </c>
      <c r="L28" s="6" t="n">
        <v>3.78</v>
      </c>
      <c r="M28" s="6"/>
      <c r="N28" s="6" t="n">
        <v>108.86</v>
      </c>
      <c r="O28" s="6" t="n">
        <v>108.61</v>
      </c>
      <c r="P28" s="6" t="n">
        <v>108.24</v>
      </c>
      <c r="Q28" s="6" t="n">
        <v>107.37</v>
      </c>
      <c r="R28" s="6" t="n">
        <v>106.23</v>
      </c>
      <c r="S28" s="6" t="n">
        <v>105.55</v>
      </c>
      <c r="T28" s="6" t="n">
        <v>105.11</v>
      </c>
      <c r="U28" s="6" t="n">
        <v>104.3</v>
      </c>
      <c r="V28" s="6" t="n">
        <v>103.32</v>
      </c>
    </row>
    <row r="29" customFormat="false" ht="15" hidden="false" customHeight="false" outlineLevel="0" collapsed="false">
      <c r="A29" s="2" t="s">
        <v>22</v>
      </c>
      <c r="B29" s="2" t="s">
        <v>50</v>
      </c>
      <c r="C29" s="3" t="n">
        <v>105</v>
      </c>
      <c r="D29" s="4" t="n">
        <v>406.76</v>
      </c>
      <c r="E29" s="5" t="n">
        <v>0.095</v>
      </c>
      <c r="F29" s="4" t="n">
        <v>230</v>
      </c>
      <c r="G29" s="6" t="n">
        <v>106.49</v>
      </c>
      <c r="H29" s="6" t="n">
        <v>99.65</v>
      </c>
      <c r="I29" s="6" t="n">
        <v>97.67</v>
      </c>
      <c r="J29" s="6" t="n">
        <v>96.85</v>
      </c>
      <c r="K29" s="6" t="n">
        <v>108.72</v>
      </c>
      <c r="L29" s="6" t="n">
        <v>3.65</v>
      </c>
      <c r="M29" s="6"/>
      <c r="N29" s="6"/>
      <c r="O29" s="6" t="n">
        <v>108.72</v>
      </c>
      <c r="P29" s="6" t="n">
        <v>108.41</v>
      </c>
      <c r="Q29" s="6" t="n">
        <v>107.47</v>
      </c>
      <c r="R29" s="6" t="n">
        <v>106.67</v>
      </c>
      <c r="S29" s="6" t="n">
        <v>106.18</v>
      </c>
      <c r="T29" s="6" t="n">
        <v>105.6</v>
      </c>
      <c r="U29" s="6" t="n">
        <v>104.84</v>
      </c>
      <c r="V29" s="6" t="n">
        <v>104.05</v>
      </c>
    </row>
    <row r="30" customFormat="false" ht="15" hidden="false" customHeight="false" outlineLevel="0" collapsed="false">
      <c r="A30" s="2" t="s">
        <v>22</v>
      </c>
      <c r="B30" s="2" t="s">
        <v>51</v>
      </c>
      <c r="C30" s="3" t="n">
        <v>110</v>
      </c>
      <c r="D30" s="4" t="n">
        <v>410.11</v>
      </c>
      <c r="E30" s="5" t="n">
        <v>0.1</v>
      </c>
      <c r="F30" s="4" t="n">
        <v>230</v>
      </c>
      <c r="G30" s="6" t="n">
        <v>106.98</v>
      </c>
      <c r="H30" s="6" t="n">
        <v>100.03</v>
      </c>
      <c r="I30" s="6" t="n">
        <v>97.75</v>
      </c>
      <c r="J30" s="6" t="n">
        <v>96.88</v>
      </c>
      <c r="K30" s="6" t="n">
        <v>109.47</v>
      </c>
      <c r="L30" s="6" t="n">
        <v>4.1</v>
      </c>
      <c r="M30" s="6"/>
      <c r="N30" s="6" t="n">
        <v>109.47</v>
      </c>
      <c r="O30" s="6" t="n">
        <v>109.04</v>
      </c>
      <c r="P30" s="6" t="n">
        <v>108.61</v>
      </c>
      <c r="Q30" s="6" t="n">
        <v>107.86</v>
      </c>
      <c r="R30" s="6" t="n">
        <v>107.11</v>
      </c>
      <c r="S30" s="6" t="n">
        <v>106.28</v>
      </c>
      <c r="T30" s="6" t="n">
        <v>105.45</v>
      </c>
      <c r="U30" s="6" t="n">
        <v>104.82</v>
      </c>
      <c r="V30" s="6" t="n">
        <v>104.19</v>
      </c>
    </row>
    <row r="31" customFormat="false" ht="15" hidden="false" customHeight="false" outlineLevel="0" collapsed="false">
      <c r="A31" s="2" t="s">
        <v>22</v>
      </c>
      <c r="B31" s="2" t="s">
        <v>52</v>
      </c>
      <c r="C31" s="3" t="n">
        <v>115</v>
      </c>
      <c r="D31" s="4" t="n">
        <v>413.45</v>
      </c>
      <c r="E31" s="5" t="n">
        <v>0.11</v>
      </c>
      <c r="F31" s="4" t="n">
        <v>225</v>
      </c>
      <c r="G31" s="6" t="n">
        <v>106.6</v>
      </c>
      <c r="H31" s="6" t="n">
        <v>99.95</v>
      </c>
      <c r="I31" s="6" t="n">
        <v>97.73</v>
      </c>
      <c r="J31" s="6" t="n">
        <v>96.86</v>
      </c>
      <c r="K31" s="6" t="n">
        <v>110.15</v>
      </c>
      <c r="L31" s="6" t="n">
        <v>4.15</v>
      </c>
      <c r="M31" s="6" t="n">
        <v>109.83</v>
      </c>
      <c r="N31" s="6" t="n">
        <v>109.34</v>
      </c>
      <c r="O31" s="6" t="n">
        <v>108.6</v>
      </c>
      <c r="P31" s="6" t="n">
        <v>107.73</v>
      </c>
      <c r="Q31" s="6" t="n">
        <v>107.06</v>
      </c>
      <c r="R31" s="6" t="n">
        <v>106.49</v>
      </c>
      <c r="S31" s="6" t="n">
        <v>105.66</v>
      </c>
      <c r="T31" s="6" t="n">
        <v>104.71</v>
      </c>
      <c r="U31" s="6" t="n">
        <v>103.75</v>
      </c>
      <c r="V31" s="6" t="n">
        <v>102.79</v>
      </c>
    </row>
    <row r="32" customFormat="false" ht="15" hidden="false" customHeight="false" outlineLevel="0" collapsed="false">
      <c r="A32" s="2" t="s">
        <v>22</v>
      </c>
      <c r="B32" s="2" t="s">
        <v>53</v>
      </c>
      <c r="C32" s="3" t="n">
        <v>120</v>
      </c>
      <c r="D32" s="4" t="n">
        <v>416.8</v>
      </c>
      <c r="E32" s="5" t="n">
        <v>0.115</v>
      </c>
      <c r="F32" s="4" t="n">
        <v>220</v>
      </c>
      <c r="G32" s="6" t="n">
        <v>106.55</v>
      </c>
      <c r="H32" s="6" t="n">
        <v>99.81</v>
      </c>
      <c r="I32" s="6" t="n">
        <v>97.71</v>
      </c>
      <c r="J32" s="6" t="n">
        <v>96.85</v>
      </c>
      <c r="K32" s="6" t="n">
        <v>109.72</v>
      </c>
      <c r="L32" s="6" t="n">
        <v>4.01</v>
      </c>
      <c r="M32" s="6" t="n">
        <v>109.72</v>
      </c>
      <c r="N32" s="6" t="n">
        <v>109.51</v>
      </c>
      <c r="O32" s="6" t="n">
        <v>108.83</v>
      </c>
      <c r="P32" s="6" t="n">
        <v>108.01</v>
      </c>
      <c r="Q32" s="6" t="n">
        <v>106.88</v>
      </c>
      <c r="R32" s="6" t="n">
        <v>105.96</v>
      </c>
      <c r="S32" s="6" t="n">
        <v>105.47</v>
      </c>
      <c r="T32" s="6" t="n">
        <v>104.79</v>
      </c>
      <c r="U32" s="6" t="n">
        <v>103.68</v>
      </c>
      <c r="V32" s="6" t="n">
        <v>102.63</v>
      </c>
    </row>
    <row r="33" customFormat="false" ht="15" hidden="false" customHeight="false" outlineLevel="0" collapsed="false">
      <c r="A33" s="2" t="s">
        <v>22</v>
      </c>
      <c r="B33" s="2" t="s">
        <v>54</v>
      </c>
      <c r="C33" s="3" t="n">
        <v>125</v>
      </c>
      <c r="D33" s="4" t="n">
        <v>420.14</v>
      </c>
      <c r="E33" s="5" t="n">
        <v>0.12</v>
      </c>
      <c r="F33" s="4" t="n">
        <v>220</v>
      </c>
      <c r="G33" s="6" t="n">
        <v>106.32</v>
      </c>
      <c r="H33" s="6" t="n">
        <v>99.76</v>
      </c>
      <c r="I33" s="6" t="n">
        <v>97.65</v>
      </c>
      <c r="J33" s="6" t="n">
        <v>96.84</v>
      </c>
      <c r="K33" s="6" t="n">
        <v>109.63</v>
      </c>
      <c r="L33" s="6" t="n">
        <v>3.96</v>
      </c>
      <c r="M33" s="6"/>
      <c r="N33" s="6" t="n">
        <v>109.63</v>
      </c>
      <c r="O33" s="6" t="n">
        <v>108.96</v>
      </c>
      <c r="P33" s="6" t="n">
        <v>108.28</v>
      </c>
      <c r="Q33" s="6" t="n">
        <v>107.2</v>
      </c>
      <c r="R33" s="6" t="n">
        <v>106.12</v>
      </c>
      <c r="S33" s="6" t="n">
        <v>105.48</v>
      </c>
      <c r="T33" s="6" t="n">
        <v>104.84</v>
      </c>
      <c r="U33" s="6" t="n">
        <v>103.72</v>
      </c>
      <c r="V33" s="6" t="n">
        <v>102.61</v>
      </c>
    </row>
    <row r="34" customFormat="false" ht="15" hidden="false" customHeight="false" outlineLevel="0" collapsed="false">
      <c r="A34" s="2" t="s">
        <v>22</v>
      </c>
      <c r="B34" s="2" t="s">
        <v>55</v>
      </c>
      <c r="C34" s="3" t="n">
        <v>130</v>
      </c>
      <c r="D34" s="4" t="n">
        <v>423.51</v>
      </c>
      <c r="E34" s="5" t="n">
        <v>0.125</v>
      </c>
      <c r="F34" s="4" t="n">
        <v>215</v>
      </c>
      <c r="G34" s="6" t="n">
        <v>106.72</v>
      </c>
      <c r="H34" s="6" t="n">
        <v>99.96</v>
      </c>
      <c r="I34" s="6" t="n">
        <v>97.73</v>
      </c>
      <c r="J34" s="6" t="n">
        <v>96.78</v>
      </c>
      <c r="K34" s="6" t="n">
        <v>110.13</v>
      </c>
      <c r="L34" s="6" t="n">
        <v>4.21</v>
      </c>
      <c r="M34" s="6" t="n">
        <v>110.13</v>
      </c>
      <c r="N34" s="6" t="n">
        <v>109.76</v>
      </c>
      <c r="O34" s="6" t="n">
        <v>109.18</v>
      </c>
      <c r="P34" s="6" t="n">
        <v>108.24</v>
      </c>
      <c r="Q34" s="6" t="n">
        <v>107.11</v>
      </c>
      <c r="R34" s="6" t="n">
        <v>106.28</v>
      </c>
      <c r="S34" s="6" t="n">
        <v>105.61</v>
      </c>
      <c r="T34" s="6" t="n">
        <v>104.68</v>
      </c>
      <c r="U34" s="6" t="n">
        <v>103.61</v>
      </c>
      <c r="V34" s="6" t="n">
        <v>102.58</v>
      </c>
    </row>
    <row r="35" customFormat="false" ht="15" hidden="false" customHeight="false" outlineLevel="0" collapsed="false">
      <c r="A35" s="2" t="s">
        <v>56</v>
      </c>
      <c r="B35" s="2" t="s">
        <v>57</v>
      </c>
      <c r="C35" s="3" t="n">
        <v>-100</v>
      </c>
      <c r="D35" s="4" t="n">
        <v>424.92</v>
      </c>
      <c r="E35" s="5" t="n">
        <v>0.1</v>
      </c>
      <c r="F35" s="4" t="n">
        <v>160</v>
      </c>
      <c r="G35" s="6" t="n">
        <v>105.08</v>
      </c>
      <c r="H35" s="6" t="n">
        <v>101.71</v>
      </c>
      <c r="I35" s="6" t="n">
        <v>100.24</v>
      </c>
      <c r="J35" s="6" t="n">
        <v>99.15</v>
      </c>
      <c r="K35" s="6" t="n">
        <v>107.14</v>
      </c>
      <c r="L35" s="6" t="n">
        <v>2.75</v>
      </c>
      <c r="M35" s="6" t="n">
        <v>106.98</v>
      </c>
      <c r="N35" s="6" t="n">
        <v>106.67</v>
      </c>
      <c r="O35" s="6" t="n">
        <v>106.29</v>
      </c>
      <c r="P35" s="6" t="n">
        <v>105.85</v>
      </c>
      <c r="Q35" s="6" t="n">
        <v>105.42</v>
      </c>
      <c r="R35" s="6" t="n">
        <v>104.99</v>
      </c>
      <c r="S35" s="6" t="n">
        <v>104.47</v>
      </c>
      <c r="T35" s="6" t="n">
        <v>103.88</v>
      </c>
      <c r="U35" s="6" t="n">
        <v>103.35</v>
      </c>
      <c r="V35" s="6" t="n">
        <v>102.88</v>
      </c>
    </row>
    <row r="36" customFormat="false" ht="15" hidden="false" customHeight="false" outlineLevel="0" collapsed="false">
      <c r="A36" s="2" t="s">
        <v>56</v>
      </c>
      <c r="B36" s="2" t="s">
        <v>58</v>
      </c>
      <c r="C36" s="3" t="n">
        <v>-50</v>
      </c>
      <c r="D36" s="4" t="n">
        <v>374.92</v>
      </c>
      <c r="E36" s="5" t="n">
        <v>0.05</v>
      </c>
      <c r="F36" s="4" t="n">
        <v>160</v>
      </c>
      <c r="G36" s="6" t="n">
        <v>105.07</v>
      </c>
      <c r="H36" s="6" t="n">
        <v>101.71</v>
      </c>
      <c r="I36" s="6" t="n">
        <v>100.24</v>
      </c>
      <c r="J36" s="6" t="n">
        <v>99.15</v>
      </c>
      <c r="K36" s="6" t="n">
        <v>107.05</v>
      </c>
      <c r="L36" s="6" t="n">
        <v>2.74</v>
      </c>
      <c r="M36" s="6" t="n">
        <v>106.91</v>
      </c>
      <c r="N36" s="6" t="n">
        <v>106.65</v>
      </c>
      <c r="O36" s="6" t="n">
        <v>106.29</v>
      </c>
      <c r="P36" s="6" t="n">
        <v>105.86</v>
      </c>
      <c r="Q36" s="6" t="n">
        <v>105.42</v>
      </c>
      <c r="R36" s="6" t="n">
        <v>104.99</v>
      </c>
      <c r="S36" s="6" t="n">
        <v>104.47</v>
      </c>
      <c r="T36" s="6" t="n">
        <v>103.88</v>
      </c>
      <c r="U36" s="6" t="n">
        <v>103.35</v>
      </c>
      <c r="V36" s="6" t="n">
        <v>102.87</v>
      </c>
    </row>
    <row r="37" customFormat="false" ht="15" hidden="false" customHeight="false" outlineLevel="0" collapsed="false">
      <c r="A37" s="2" t="s">
        <v>56</v>
      </c>
      <c r="B37" s="2" t="s">
        <v>59</v>
      </c>
      <c r="C37" s="3" t="n">
        <v>-20</v>
      </c>
      <c r="D37" s="4" t="n">
        <v>344.92</v>
      </c>
      <c r="E37" s="5" t="n">
        <v>0.03</v>
      </c>
      <c r="F37" s="4" t="n">
        <v>150</v>
      </c>
      <c r="G37" s="6" t="n">
        <v>104.15</v>
      </c>
      <c r="H37" s="6" t="n">
        <v>101.36</v>
      </c>
      <c r="I37" s="6" t="n">
        <v>99.93</v>
      </c>
      <c r="J37" s="6" t="n">
        <v>99.15</v>
      </c>
      <c r="K37" s="6" t="n">
        <v>106.65</v>
      </c>
      <c r="L37" s="6" t="n">
        <v>2.44</v>
      </c>
      <c r="M37" s="6" t="n">
        <v>106.29</v>
      </c>
      <c r="N37" s="6" t="n">
        <v>105.85</v>
      </c>
      <c r="O37" s="6" t="n">
        <v>105.42</v>
      </c>
      <c r="P37" s="6" t="n">
        <v>104.99</v>
      </c>
      <c r="Q37" s="6" t="n">
        <v>104.47</v>
      </c>
      <c r="R37" s="6" t="n">
        <v>103.88</v>
      </c>
      <c r="S37" s="6" t="n">
        <v>103.35</v>
      </c>
      <c r="T37" s="6" t="n">
        <v>102.88</v>
      </c>
      <c r="U37" s="6" t="n">
        <v>102.4</v>
      </c>
      <c r="V37" s="6" t="n">
        <v>101.92</v>
      </c>
    </row>
    <row r="38" customFormat="false" ht="15" hidden="false" customHeight="false" outlineLevel="0" collapsed="false">
      <c r="A38" s="2" t="s">
        <v>56</v>
      </c>
      <c r="B38" s="2" t="s">
        <v>60</v>
      </c>
      <c r="C38" s="3" t="n">
        <v>-15</v>
      </c>
      <c r="D38" s="4" t="n">
        <v>339.93</v>
      </c>
      <c r="E38" s="5" t="n">
        <v>0.03</v>
      </c>
      <c r="F38" s="4" t="n">
        <v>145</v>
      </c>
      <c r="G38" s="6" t="n">
        <v>103.65</v>
      </c>
      <c r="H38" s="6" t="n">
        <v>101.18</v>
      </c>
      <c r="I38" s="6" t="n">
        <v>99.87</v>
      </c>
      <c r="J38" s="6" t="n">
        <v>99.16</v>
      </c>
      <c r="K38" s="6" t="n">
        <v>106.29</v>
      </c>
      <c r="L38" s="6" t="n">
        <v>2.28</v>
      </c>
      <c r="M38" s="6" t="n">
        <v>105.87</v>
      </c>
      <c r="N38" s="6" t="n">
        <v>105.44</v>
      </c>
      <c r="O38" s="6" t="n">
        <v>105.01</v>
      </c>
      <c r="P38" s="6" t="n">
        <v>104.38</v>
      </c>
      <c r="Q38" s="6" t="n">
        <v>103.76</v>
      </c>
      <c r="R38" s="6" t="n">
        <v>103.4</v>
      </c>
      <c r="S38" s="6" t="n">
        <v>103.04</v>
      </c>
      <c r="T38" s="6" t="n">
        <v>102.44</v>
      </c>
      <c r="U38" s="6" t="n">
        <v>101.85</v>
      </c>
      <c r="V38" s="6" t="n">
        <v>101.35</v>
      </c>
    </row>
    <row r="39" customFormat="false" ht="15" hidden="false" customHeight="false" outlineLevel="0" collapsed="false">
      <c r="A39" s="2" t="s">
        <v>56</v>
      </c>
      <c r="B39" s="2" t="s">
        <v>61</v>
      </c>
      <c r="C39" s="3" t="n">
        <v>-10</v>
      </c>
      <c r="D39" s="4" t="n">
        <v>334.92</v>
      </c>
      <c r="E39" s="5" t="n">
        <v>0.035</v>
      </c>
      <c r="F39" s="4" t="n">
        <v>135</v>
      </c>
      <c r="G39" s="6" t="n">
        <v>102.64</v>
      </c>
      <c r="H39" s="6" t="n">
        <v>100.84</v>
      </c>
      <c r="I39" s="6" t="n">
        <v>99.81</v>
      </c>
      <c r="J39" s="6" t="n">
        <v>99.15</v>
      </c>
      <c r="K39" s="6" t="n">
        <v>105.42</v>
      </c>
      <c r="L39" s="6" t="n">
        <v>1.93</v>
      </c>
      <c r="M39" s="6" t="n">
        <v>104.99</v>
      </c>
      <c r="N39" s="6" t="n">
        <v>104.47</v>
      </c>
      <c r="O39" s="6" t="n">
        <v>103.88</v>
      </c>
      <c r="P39" s="6" t="n">
        <v>103.35</v>
      </c>
      <c r="Q39" s="6" t="n">
        <v>102.87</v>
      </c>
      <c r="R39" s="6" t="n">
        <v>102.4</v>
      </c>
      <c r="S39" s="6" t="n">
        <v>101.92</v>
      </c>
      <c r="T39" s="6" t="n">
        <v>101.39</v>
      </c>
      <c r="U39" s="6" t="n">
        <v>100.83</v>
      </c>
      <c r="V39" s="6" t="n">
        <v>100.32</v>
      </c>
    </row>
    <row r="40" customFormat="false" ht="15" hidden="false" customHeight="false" outlineLevel="0" collapsed="false">
      <c r="A40" s="2" t="s">
        <v>56</v>
      </c>
      <c r="B40" s="2" t="s">
        <v>62</v>
      </c>
      <c r="C40" s="3" t="n">
        <v>-5</v>
      </c>
      <c r="D40" s="4" t="n">
        <v>329.93</v>
      </c>
      <c r="E40" s="5" t="n">
        <v>0.03</v>
      </c>
      <c r="F40" s="4" t="n">
        <v>135</v>
      </c>
      <c r="G40" s="6" t="n">
        <v>102.64</v>
      </c>
      <c r="H40" s="6" t="n">
        <v>100.83</v>
      </c>
      <c r="I40" s="6" t="n">
        <v>99.85</v>
      </c>
      <c r="J40" s="6" t="n">
        <v>99.16</v>
      </c>
      <c r="K40" s="6" t="n">
        <v>105.44</v>
      </c>
      <c r="L40" s="6" t="n">
        <v>1.93</v>
      </c>
      <c r="M40" s="6" t="n">
        <v>105.01</v>
      </c>
      <c r="N40" s="6" t="n">
        <v>104.38</v>
      </c>
      <c r="O40" s="6" t="n">
        <v>103.76</v>
      </c>
      <c r="P40" s="6" t="n">
        <v>103.4</v>
      </c>
      <c r="Q40" s="6" t="n">
        <v>103.04</v>
      </c>
      <c r="R40" s="6" t="n">
        <v>102.44</v>
      </c>
      <c r="S40" s="6" t="n">
        <v>101.85</v>
      </c>
      <c r="T40" s="6" t="n">
        <v>101.35</v>
      </c>
      <c r="U40" s="6" t="n">
        <v>100.86</v>
      </c>
      <c r="V40" s="6" t="n">
        <v>100.3</v>
      </c>
    </row>
    <row r="41" customFormat="false" ht="15" hidden="false" customHeight="false" outlineLevel="0" collapsed="false">
      <c r="A41" s="2" t="s">
        <v>56</v>
      </c>
      <c r="B41" s="2" t="s">
        <v>63</v>
      </c>
      <c r="C41" s="3" t="n">
        <v>0</v>
      </c>
      <c r="D41" s="4" t="n">
        <v>324.92</v>
      </c>
      <c r="E41" s="5" t="n">
        <v>0.035</v>
      </c>
      <c r="F41" s="4" t="n">
        <v>125</v>
      </c>
      <c r="G41" s="6" t="n">
        <v>101.64</v>
      </c>
      <c r="H41" s="6" t="n">
        <v>100.5</v>
      </c>
      <c r="I41" s="6" t="n">
        <v>99.76</v>
      </c>
      <c r="J41" s="6" t="n">
        <v>99.15</v>
      </c>
      <c r="K41" s="6" t="n">
        <v>104.47</v>
      </c>
      <c r="L41" s="6" t="n">
        <v>1.55</v>
      </c>
      <c r="M41" s="6" t="n">
        <v>103.88</v>
      </c>
      <c r="N41" s="6" t="n">
        <v>103.35</v>
      </c>
      <c r="O41" s="6" t="n">
        <v>102.87</v>
      </c>
      <c r="P41" s="6" t="n">
        <v>102.4</v>
      </c>
      <c r="Q41" s="6" t="n">
        <v>101.92</v>
      </c>
      <c r="R41" s="6" t="n">
        <v>101.39</v>
      </c>
      <c r="S41" s="6" t="n">
        <v>100.83</v>
      </c>
      <c r="T41" s="6" t="n">
        <v>100.32</v>
      </c>
      <c r="U41" s="6" t="n">
        <v>99.86</v>
      </c>
      <c r="V41" s="6" t="n">
        <v>99.57</v>
      </c>
    </row>
    <row r="42" customFormat="false" ht="15" hidden="false" customHeight="false" outlineLevel="0" collapsed="false">
      <c r="A42" s="2" t="s">
        <v>56</v>
      </c>
      <c r="B42" s="2" t="s">
        <v>64</v>
      </c>
      <c r="C42" s="3" t="n">
        <v>5</v>
      </c>
      <c r="D42" s="4" t="n">
        <v>325.28</v>
      </c>
      <c r="E42" s="5" t="n">
        <v>0.035</v>
      </c>
      <c r="F42" s="4" t="n">
        <v>125</v>
      </c>
      <c r="G42" s="6" t="n">
        <v>101.71</v>
      </c>
      <c r="H42" s="6" t="n">
        <v>100.54</v>
      </c>
      <c r="I42" s="6" t="n">
        <v>99.76</v>
      </c>
      <c r="J42" s="6" t="n">
        <v>99.18</v>
      </c>
      <c r="K42" s="6" t="n">
        <v>104.71</v>
      </c>
      <c r="L42" s="6" t="n">
        <v>1.6</v>
      </c>
      <c r="M42" s="6" t="n">
        <v>104.07</v>
      </c>
      <c r="N42" s="6" t="n">
        <v>103.47</v>
      </c>
      <c r="O42" s="6" t="n">
        <v>102.89</v>
      </c>
      <c r="P42" s="6" t="n">
        <v>102.42</v>
      </c>
      <c r="Q42" s="6" t="n">
        <v>102.05</v>
      </c>
      <c r="R42" s="6" t="n">
        <v>101.55</v>
      </c>
      <c r="S42" s="6" t="n">
        <v>100.9</v>
      </c>
      <c r="T42" s="6" t="n">
        <v>100.34</v>
      </c>
      <c r="U42" s="6" t="n">
        <v>99.88</v>
      </c>
      <c r="V42" s="6" t="n">
        <v>99.59</v>
      </c>
    </row>
    <row r="43" customFormat="false" ht="15" hidden="false" customHeight="false" outlineLevel="0" collapsed="false">
      <c r="A43" s="2" t="s">
        <v>56</v>
      </c>
      <c r="B43" s="2" t="s">
        <v>65</v>
      </c>
      <c r="C43" s="3" t="n">
        <v>10</v>
      </c>
      <c r="D43" s="4" t="n">
        <v>329.25</v>
      </c>
      <c r="E43" s="5" t="n">
        <v>0.03</v>
      </c>
      <c r="F43" s="4" t="n">
        <v>130</v>
      </c>
      <c r="G43" s="6" t="n">
        <v>102.77</v>
      </c>
      <c r="H43" s="6" t="n">
        <v>100.93</v>
      </c>
      <c r="I43" s="6" t="n">
        <v>99.88</v>
      </c>
      <c r="J43" s="6" t="n">
        <v>99.06</v>
      </c>
      <c r="K43" s="6" t="n">
        <v>105.82</v>
      </c>
      <c r="L43" s="6" t="n">
        <v>2.05</v>
      </c>
      <c r="M43" s="6" t="n">
        <v>105.37</v>
      </c>
      <c r="N43" s="6" t="n">
        <v>104.71</v>
      </c>
      <c r="O43" s="6" t="n">
        <v>104.05</v>
      </c>
      <c r="P43" s="6" t="n">
        <v>103.46</v>
      </c>
      <c r="Q43" s="6" t="n">
        <v>102.89</v>
      </c>
      <c r="R43" s="6" t="n">
        <v>102.5</v>
      </c>
      <c r="S43" s="6" t="n">
        <v>102.08</v>
      </c>
      <c r="T43" s="6" t="n">
        <v>101.47</v>
      </c>
      <c r="U43" s="6" t="n">
        <v>100.86</v>
      </c>
      <c r="V43" s="6" t="n">
        <v>100.35</v>
      </c>
    </row>
    <row r="44" customFormat="false" ht="15" hidden="false" customHeight="false" outlineLevel="0" collapsed="false">
      <c r="A44" s="2" t="s">
        <v>56</v>
      </c>
      <c r="B44" s="2" t="s">
        <v>66</v>
      </c>
      <c r="C44" s="3" t="n">
        <v>15</v>
      </c>
      <c r="D44" s="4" t="n">
        <v>332.61</v>
      </c>
      <c r="E44" s="5" t="n">
        <v>0.035</v>
      </c>
      <c r="F44" s="4" t="n">
        <v>130</v>
      </c>
      <c r="G44" s="6" t="n">
        <v>102.39</v>
      </c>
      <c r="H44" s="6" t="n">
        <v>100.76</v>
      </c>
      <c r="I44" s="6" t="n">
        <v>99.9</v>
      </c>
      <c r="J44" s="6" t="n">
        <v>99.15</v>
      </c>
      <c r="K44" s="6" t="n">
        <v>105.75</v>
      </c>
      <c r="L44" s="6" t="n">
        <v>1.99</v>
      </c>
      <c r="M44" s="6" t="n">
        <v>105.07</v>
      </c>
      <c r="N44" s="6" t="n">
        <v>104.51</v>
      </c>
      <c r="O44" s="6" t="n">
        <v>103.97</v>
      </c>
      <c r="P44" s="6" t="n">
        <v>103.35</v>
      </c>
      <c r="Q44" s="6" t="n">
        <v>102.69</v>
      </c>
      <c r="R44" s="6" t="n">
        <v>102.12</v>
      </c>
      <c r="S44" s="6" t="n">
        <v>101.56</v>
      </c>
      <c r="T44" s="6" t="n">
        <v>100.86</v>
      </c>
      <c r="U44" s="6" t="n">
        <v>100.1</v>
      </c>
      <c r="V44" s="6" t="n">
        <v>99.68</v>
      </c>
    </row>
    <row r="45" customFormat="false" ht="15" hidden="false" customHeight="false" outlineLevel="0" collapsed="false">
      <c r="A45" s="2" t="s">
        <v>56</v>
      </c>
      <c r="B45" s="2" t="s">
        <v>67</v>
      </c>
      <c r="C45" s="3" t="n">
        <v>20</v>
      </c>
      <c r="D45" s="4" t="n">
        <v>335.96</v>
      </c>
      <c r="E45" s="5" t="n">
        <v>0.035</v>
      </c>
      <c r="F45" s="4" t="n">
        <v>130</v>
      </c>
      <c r="G45" s="6" t="n">
        <v>103.03</v>
      </c>
      <c r="H45" s="6" t="n">
        <v>101.02</v>
      </c>
      <c r="I45" s="6" t="n">
        <v>99.73</v>
      </c>
      <c r="J45" s="6" t="n">
        <v>99.2</v>
      </c>
      <c r="K45" s="6" t="n">
        <v>106.41</v>
      </c>
      <c r="L45" s="6" t="n">
        <v>2.3</v>
      </c>
      <c r="M45" s="6" t="n">
        <v>105.92</v>
      </c>
      <c r="N45" s="6" t="n">
        <v>105.34</v>
      </c>
      <c r="O45" s="6" t="n">
        <v>104.65</v>
      </c>
      <c r="P45" s="6" t="n">
        <v>103.96</v>
      </c>
      <c r="Q45" s="6" t="n">
        <v>103.28</v>
      </c>
      <c r="R45" s="6" t="n">
        <v>102.7</v>
      </c>
      <c r="S45" s="6" t="n">
        <v>102.27</v>
      </c>
      <c r="T45" s="6" t="n">
        <v>101.62</v>
      </c>
      <c r="U45" s="6" t="n">
        <v>100.63</v>
      </c>
      <c r="V45" s="6" t="n">
        <v>99.93</v>
      </c>
    </row>
    <row r="46" customFormat="false" ht="15" hidden="false" customHeight="false" outlineLevel="0" collapsed="false">
      <c r="A46" s="2" t="s">
        <v>56</v>
      </c>
      <c r="B46" s="2" t="s">
        <v>68</v>
      </c>
      <c r="C46" s="3" t="n">
        <v>25</v>
      </c>
      <c r="D46" s="4" t="n">
        <v>339.32</v>
      </c>
      <c r="E46" s="5" t="n">
        <v>0.03</v>
      </c>
      <c r="F46" s="4" t="n">
        <v>140</v>
      </c>
      <c r="G46" s="6" t="n">
        <v>104.41</v>
      </c>
      <c r="H46" s="6" t="n">
        <v>101.49</v>
      </c>
      <c r="I46" s="6" t="n">
        <v>99.97</v>
      </c>
      <c r="J46" s="6" t="n">
        <v>99.04</v>
      </c>
      <c r="K46" s="6" t="n">
        <v>107.36</v>
      </c>
      <c r="L46" s="6" t="n">
        <v>2.78</v>
      </c>
      <c r="M46" s="6" t="n">
        <v>107.13</v>
      </c>
      <c r="N46" s="6" t="n">
        <v>106.71</v>
      </c>
      <c r="O46" s="6" t="n">
        <v>106.28</v>
      </c>
      <c r="P46" s="6" t="n">
        <v>105.45</v>
      </c>
      <c r="Q46" s="6" t="n">
        <v>104.64</v>
      </c>
      <c r="R46" s="6" t="n">
        <v>103.94</v>
      </c>
      <c r="S46" s="6" t="n">
        <v>103.25</v>
      </c>
      <c r="T46" s="6" t="n">
        <v>102.82</v>
      </c>
      <c r="U46" s="6" t="n">
        <v>102.36</v>
      </c>
      <c r="V46" s="6" t="n">
        <v>101.51</v>
      </c>
    </row>
    <row r="47" customFormat="false" ht="15" hidden="false" customHeight="false" outlineLevel="0" collapsed="false">
      <c r="A47" s="2" t="s">
        <v>56</v>
      </c>
      <c r="B47" s="2" t="s">
        <v>69</v>
      </c>
      <c r="C47" s="3" t="n">
        <v>30</v>
      </c>
      <c r="D47" s="4" t="n">
        <v>342.65</v>
      </c>
      <c r="E47" s="5" t="n">
        <v>0.035</v>
      </c>
      <c r="F47" s="4" t="n">
        <v>140</v>
      </c>
      <c r="G47" s="6" t="n">
        <v>104.53</v>
      </c>
      <c r="H47" s="6" t="n">
        <v>101.54</v>
      </c>
      <c r="I47" s="6" t="n">
        <v>99.94</v>
      </c>
      <c r="J47" s="6" t="n">
        <v>99.17</v>
      </c>
      <c r="K47" s="6" t="n">
        <v>107.75</v>
      </c>
      <c r="L47" s="6" t="n">
        <v>2.86</v>
      </c>
      <c r="M47" s="6" t="n">
        <v>107.45</v>
      </c>
      <c r="N47" s="6" t="n">
        <v>106.88</v>
      </c>
      <c r="O47" s="6" t="n">
        <v>106.21</v>
      </c>
      <c r="P47" s="6" t="n">
        <v>105.57</v>
      </c>
      <c r="Q47" s="6" t="n">
        <v>104.94</v>
      </c>
      <c r="R47" s="6" t="n">
        <v>104.18</v>
      </c>
      <c r="S47" s="6" t="n">
        <v>103.37</v>
      </c>
      <c r="T47" s="6" t="n">
        <v>102.81</v>
      </c>
      <c r="U47" s="6" t="n">
        <v>102.34</v>
      </c>
      <c r="V47" s="6" t="n">
        <v>101.56</v>
      </c>
    </row>
    <row r="48" customFormat="false" ht="15" hidden="false" customHeight="false" outlineLevel="0" collapsed="false">
      <c r="A48" s="2" t="s">
        <v>56</v>
      </c>
      <c r="B48" s="2" t="s">
        <v>70</v>
      </c>
      <c r="C48" s="3" t="n">
        <v>35</v>
      </c>
      <c r="D48" s="4" t="n">
        <v>346.01</v>
      </c>
      <c r="E48" s="5" t="n">
        <v>0.03</v>
      </c>
      <c r="F48" s="4" t="n">
        <v>145</v>
      </c>
      <c r="G48" s="6" t="n">
        <v>105.97</v>
      </c>
      <c r="H48" s="6" t="n">
        <v>102.06</v>
      </c>
      <c r="I48" s="6" t="n">
        <v>100.32</v>
      </c>
      <c r="J48" s="6" t="n">
        <v>99.15</v>
      </c>
      <c r="K48" s="6" t="n">
        <v>107.94</v>
      </c>
      <c r="L48" s="6" t="n">
        <v>3.1</v>
      </c>
      <c r="M48" s="6"/>
      <c r="N48" s="6" t="n">
        <v>107.94</v>
      </c>
      <c r="O48" s="6" t="n">
        <v>107.75</v>
      </c>
      <c r="P48" s="6" t="n">
        <v>107.26</v>
      </c>
      <c r="Q48" s="6" t="n">
        <v>106.7</v>
      </c>
      <c r="R48" s="6" t="n">
        <v>106.02</v>
      </c>
      <c r="S48" s="6" t="n">
        <v>105.38</v>
      </c>
      <c r="T48" s="6" t="n">
        <v>104.82</v>
      </c>
      <c r="U48" s="6" t="n">
        <v>104.24</v>
      </c>
      <c r="V48" s="6" t="n">
        <v>103.63</v>
      </c>
    </row>
    <row r="49" customFormat="false" ht="15" hidden="false" customHeight="false" outlineLevel="0" collapsed="false">
      <c r="A49" s="2" t="s">
        <v>56</v>
      </c>
      <c r="B49" s="2" t="s">
        <v>71</v>
      </c>
      <c r="C49" s="3" t="n">
        <v>40</v>
      </c>
      <c r="D49" s="4" t="n">
        <v>349.37</v>
      </c>
      <c r="E49" s="5" t="n">
        <v>0.035</v>
      </c>
      <c r="F49" s="4" t="n">
        <v>155</v>
      </c>
      <c r="G49" s="6" t="n">
        <v>106.24</v>
      </c>
      <c r="H49" s="6" t="n">
        <v>102.06</v>
      </c>
      <c r="I49" s="6" t="n">
        <v>100.3</v>
      </c>
      <c r="J49" s="6" t="n">
        <v>99.08</v>
      </c>
      <c r="K49" s="6" t="n">
        <v>108.17</v>
      </c>
      <c r="L49" s="6" t="n">
        <v>3.17</v>
      </c>
      <c r="M49" s="6" t="n">
        <v>108.17</v>
      </c>
      <c r="N49" s="6" t="n">
        <v>108.14</v>
      </c>
      <c r="O49" s="6" t="n">
        <v>107.77</v>
      </c>
      <c r="P49" s="6" t="n">
        <v>107.38</v>
      </c>
      <c r="Q49" s="6" t="n">
        <v>106.78</v>
      </c>
      <c r="R49" s="6" t="n">
        <v>106.17</v>
      </c>
      <c r="S49" s="6" t="n">
        <v>105.37</v>
      </c>
      <c r="T49" s="6" t="n">
        <v>104.59</v>
      </c>
      <c r="U49" s="6" t="n">
        <v>104.21</v>
      </c>
      <c r="V49" s="6" t="n">
        <v>103.79</v>
      </c>
    </row>
    <row r="50" customFormat="false" ht="15" hidden="false" customHeight="false" outlineLevel="0" collapsed="false">
      <c r="A50" s="2" t="s">
        <v>56</v>
      </c>
      <c r="B50" s="2" t="s">
        <v>72</v>
      </c>
      <c r="C50" s="3" t="n">
        <v>45</v>
      </c>
      <c r="D50" s="4" t="n">
        <v>352.7</v>
      </c>
      <c r="E50" s="5" t="n">
        <v>0.035</v>
      </c>
      <c r="F50" s="4" t="n">
        <v>160</v>
      </c>
      <c r="G50" s="6" t="n">
        <v>106.33</v>
      </c>
      <c r="H50" s="6" t="n">
        <v>101.91</v>
      </c>
      <c r="I50" s="6" t="n">
        <v>100.14</v>
      </c>
      <c r="J50" s="6" t="n">
        <v>99.08</v>
      </c>
      <c r="K50" s="6" t="n">
        <v>108.5</v>
      </c>
      <c r="L50" s="6" t="n">
        <v>3.17</v>
      </c>
      <c r="M50" s="6"/>
      <c r="N50" s="6"/>
      <c r="O50" s="6" t="n">
        <v>108.5</v>
      </c>
      <c r="P50" s="6" t="n">
        <v>107.99</v>
      </c>
      <c r="Q50" s="6" t="n">
        <v>107.3</v>
      </c>
      <c r="R50" s="6" t="n">
        <v>106.65</v>
      </c>
      <c r="S50" s="6" t="n">
        <v>106.03</v>
      </c>
      <c r="T50" s="6" t="n">
        <v>105.38</v>
      </c>
      <c r="U50" s="6" t="n">
        <v>104.71</v>
      </c>
      <c r="V50" s="6" t="n">
        <v>104.04</v>
      </c>
    </row>
    <row r="51" customFormat="false" ht="15" hidden="false" customHeight="false" outlineLevel="0" collapsed="false">
      <c r="A51" s="2" t="s">
        <v>56</v>
      </c>
      <c r="B51" s="2" t="s">
        <v>73</v>
      </c>
      <c r="C51" s="3" t="n">
        <v>50</v>
      </c>
      <c r="D51" s="4" t="n">
        <v>356.05</v>
      </c>
      <c r="E51" s="5" t="n">
        <v>0.04</v>
      </c>
      <c r="F51" s="4" t="n">
        <v>160</v>
      </c>
      <c r="G51" s="6" t="n">
        <v>106.71</v>
      </c>
      <c r="H51" s="6" t="n">
        <v>102.1</v>
      </c>
      <c r="I51" s="6" t="n">
        <v>100.31</v>
      </c>
      <c r="J51" s="6" t="n">
        <v>99.08</v>
      </c>
      <c r="K51" s="6" t="n">
        <v>108.91</v>
      </c>
      <c r="L51" s="6" t="n">
        <v>3.36</v>
      </c>
      <c r="M51" s="6"/>
      <c r="N51" s="6" t="n">
        <v>108.91</v>
      </c>
      <c r="O51" s="6" t="n">
        <v>108.7</v>
      </c>
      <c r="P51" s="6" t="n">
        <v>108.18</v>
      </c>
      <c r="Q51" s="6" t="n">
        <v>107.55</v>
      </c>
      <c r="R51" s="6" t="n">
        <v>106.76</v>
      </c>
      <c r="S51" s="6" t="n">
        <v>106.04</v>
      </c>
      <c r="T51" s="6" t="n">
        <v>105.44</v>
      </c>
      <c r="U51" s="6" t="n">
        <v>104.77</v>
      </c>
      <c r="V51" s="6" t="n">
        <v>104</v>
      </c>
    </row>
    <row r="52" customFormat="false" ht="15" hidden="false" customHeight="false" outlineLevel="0" collapsed="false">
      <c r="A52" s="2" t="s">
        <v>56</v>
      </c>
      <c r="B52" s="2" t="s">
        <v>74</v>
      </c>
      <c r="C52" s="3" t="n">
        <v>55</v>
      </c>
      <c r="D52" s="4" t="n">
        <v>359.41</v>
      </c>
      <c r="E52" s="5" t="n">
        <v>0.045</v>
      </c>
      <c r="F52" s="4" t="n">
        <v>160</v>
      </c>
      <c r="G52" s="6" t="n">
        <v>107.04</v>
      </c>
      <c r="H52" s="6" t="n">
        <v>102.27</v>
      </c>
      <c r="I52" s="6" t="n">
        <v>100.09</v>
      </c>
      <c r="J52" s="6" t="n">
        <v>99.18</v>
      </c>
      <c r="K52" s="6" t="n">
        <v>109.4</v>
      </c>
      <c r="L52" s="6" t="n">
        <v>3.53</v>
      </c>
      <c r="M52" s="6" t="n">
        <v>109.4</v>
      </c>
      <c r="N52" s="6" t="n">
        <v>109.36</v>
      </c>
      <c r="O52" s="6" t="n">
        <v>108.76</v>
      </c>
      <c r="P52" s="6" t="n">
        <v>108.16</v>
      </c>
      <c r="Q52" s="6" t="n">
        <v>107.59</v>
      </c>
      <c r="R52" s="6" t="n">
        <v>107.01</v>
      </c>
      <c r="S52" s="6" t="n">
        <v>106.12</v>
      </c>
      <c r="T52" s="6" t="n">
        <v>105.25</v>
      </c>
      <c r="U52" s="6" t="n">
        <v>104.67</v>
      </c>
      <c r="V52" s="6" t="n">
        <v>104.09</v>
      </c>
    </row>
    <row r="53" customFormat="false" ht="15" hidden="false" customHeight="false" outlineLevel="0" collapsed="false">
      <c r="A53" s="2" t="s">
        <v>56</v>
      </c>
      <c r="B53" s="2" t="s">
        <v>75</v>
      </c>
      <c r="C53" s="3" t="n">
        <v>60</v>
      </c>
      <c r="D53" s="4" t="n">
        <v>362.77</v>
      </c>
      <c r="E53" s="5" t="n">
        <v>0.05</v>
      </c>
      <c r="F53" s="4" t="n">
        <v>160</v>
      </c>
      <c r="G53" s="6" t="n">
        <v>106.91</v>
      </c>
      <c r="H53" s="6" t="n">
        <v>102.24</v>
      </c>
      <c r="I53" s="6" t="n">
        <v>100.23</v>
      </c>
      <c r="J53" s="6" t="n">
        <v>99.19</v>
      </c>
      <c r="K53" s="6" t="n">
        <v>109.2</v>
      </c>
      <c r="L53" s="6" t="n">
        <v>3.5</v>
      </c>
      <c r="M53" s="6"/>
      <c r="N53" s="6" t="n">
        <v>109.2</v>
      </c>
      <c r="O53" s="6" t="n">
        <v>108.76</v>
      </c>
      <c r="P53" s="6" t="n">
        <v>108.16</v>
      </c>
      <c r="Q53" s="6" t="n">
        <v>107.68</v>
      </c>
      <c r="R53" s="6" t="n">
        <v>107.25</v>
      </c>
      <c r="S53" s="6" t="n">
        <v>106.5</v>
      </c>
      <c r="T53" s="6" t="n">
        <v>105.64</v>
      </c>
      <c r="U53" s="6" t="n">
        <v>104.87</v>
      </c>
      <c r="V53" s="6" t="n">
        <v>104.15</v>
      </c>
    </row>
    <row r="54" customFormat="false" ht="15" hidden="false" customHeight="false" outlineLevel="0" collapsed="false">
      <c r="A54" s="2" t="s">
        <v>56</v>
      </c>
      <c r="B54" s="2" t="s">
        <v>76</v>
      </c>
      <c r="C54" s="3" t="n">
        <v>65</v>
      </c>
      <c r="D54" s="4" t="n">
        <v>366.15</v>
      </c>
      <c r="E54" s="5" t="n">
        <v>0.055</v>
      </c>
      <c r="F54" s="4" t="n">
        <v>155</v>
      </c>
      <c r="G54" s="6" t="n">
        <v>107.14</v>
      </c>
      <c r="H54" s="6" t="n">
        <v>102.43</v>
      </c>
      <c r="I54" s="6" t="n">
        <v>100.78</v>
      </c>
      <c r="J54" s="6" t="n">
        <v>99.19</v>
      </c>
      <c r="K54" s="6" t="n">
        <v>108.65</v>
      </c>
      <c r="L54" s="6" t="n">
        <v>3.4</v>
      </c>
      <c r="M54" s="6"/>
      <c r="N54" s="6"/>
      <c r="O54" s="6" t="n">
        <v>108.65</v>
      </c>
      <c r="P54" s="6" t="n">
        <v>108.52</v>
      </c>
      <c r="Q54" s="6" t="n">
        <v>108.19</v>
      </c>
      <c r="R54" s="6" t="n">
        <v>107.71</v>
      </c>
      <c r="S54" s="6" t="n">
        <v>107</v>
      </c>
      <c r="T54" s="6" t="n">
        <v>106.32</v>
      </c>
      <c r="U54" s="6" t="n">
        <v>105.66</v>
      </c>
      <c r="V54" s="6" t="n">
        <v>105.04</v>
      </c>
    </row>
    <row r="55" customFormat="false" ht="15" hidden="false" customHeight="false" outlineLevel="0" collapsed="false">
      <c r="A55" s="2" t="s">
        <v>56</v>
      </c>
      <c r="B55" s="2" t="s">
        <v>77</v>
      </c>
      <c r="C55" s="3" t="n">
        <v>70</v>
      </c>
      <c r="D55" s="4" t="n">
        <v>369.46</v>
      </c>
      <c r="E55" s="5" t="n">
        <v>0.06</v>
      </c>
      <c r="F55" s="4" t="n">
        <v>155</v>
      </c>
      <c r="G55" s="6" t="n">
        <v>107.51</v>
      </c>
      <c r="H55" s="6" t="n">
        <v>102.63</v>
      </c>
      <c r="I55" s="6" t="n">
        <v>100.29</v>
      </c>
      <c r="J55" s="6" t="n">
        <v>99.17</v>
      </c>
      <c r="K55" s="6" t="n">
        <v>109</v>
      </c>
      <c r="L55" s="6" t="n">
        <v>3.58</v>
      </c>
      <c r="M55" s="6"/>
      <c r="N55" s="6" t="n">
        <v>109</v>
      </c>
      <c r="O55" s="6" t="n">
        <v>108.99</v>
      </c>
      <c r="P55" s="6" t="n">
        <v>108.81</v>
      </c>
      <c r="Q55" s="6" t="n">
        <v>108.6</v>
      </c>
      <c r="R55" s="6" t="n">
        <v>107.78</v>
      </c>
      <c r="S55" s="6" t="n">
        <v>106.96</v>
      </c>
      <c r="T55" s="6" t="n">
        <v>106.41</v>
      </c>
      <c r="U55" s="6" t="n">
        <v>105.84</v>
      </c>
      <c r="V55" s="6" t="n">
        <v>105.17</v>
      </c>
    </row>
    <row r="56" customFormat="false" ht="15" hidden="false" customHeight="false" outlineLevel="0" collapsed="false">
      <c r="A56" s="2" t="s">
        <v>56</v>
      </c>
      <c r="B56" s="2" t="s">
        <v>78</v>
      </c>
      <c r="C56" s="3" t="n">
        <v>75</v>
      </c>
      <c r="D56" s="4" t="n">
        <v>372.79</v>
      </c>
      <c r="E56" s="5" t="n">
        <v>0.065</v>
      </c>
      <c r="F56" s="4" t="n">
        <v>150</v>
      </c>
      <c r="G56" s="6" t="n">
        <v>107.7</v>
      </c>
      <c r="H56" s="6" t="n">
        <v>102.93</v>
      </c>
      <c r="I56" s="6" t="n">
        <v>100.57</v>
      </c>
      <c r="J56" s="6" t="n">
        <v>99.19</v>
      </c>
      <c r="K56" s="6" t="n">
        <v>109.6</v>
      </c>
      <c r="L56" s="6" t="n">
        <v>3.94</v>
      </c>
      <c r="M56" s="6" t="n">
        <v>109.6</v>
      </c>
      <c r="N56" s="6" t="n">
        <v>109.57</v>
      </c>
      <c r="O56" s="6" t="n">
        <v>109.53</v>
      </c>
      <c r="P56" s="6" t="n">
        <v>109.01</v>
      </c>
      <c r="Q56" s="6" t="n">
        <v>108.3</v>
      </c>
      <c r="R56" s="6" t="n">
        <v>107.61</v>
      </c>
      <c r="S56" s="6" t="n">
        <v>106.91</v>
      </c>
      <c r="T56" s="6" t="n">
        <v>106.21</v>
      </c>
      <c r="U56" s="6" t="n">
        <v>105.51</v>
      </c>
      <c r="V56" s="6" t="n">
        <v>104.76</v>
      </c>
    </row>
    <row r="57" customFormat="false" ht="15" hidden="false" customHeight="false" outlineLevel="0" collapsed="false">
      <c r="A57" s="2" t="s">
        <v>56</v>
      </c>
      <c r="B57" s="2" t="s">
        <v>79</v>
      </c>
      <c r="C57" s="3" t="n">
        <v>80</v>
      </c>
      <c r="D57" s="4" t="n">
        <v>376.15</v>
      </c>
      <c r="E57" s="5" t="n">
        <v>0.07</v>
      </c>
      <c r="F57" s="4" t="n">
        <v>150</v>
      </c>
      <c r="G57" s="6" t="n">
        <v>107.67</v>
      </c>
      <c r="H57" s="6" t="n">
        <v>102.67</v>
      </c>
      <c r="I57" s="6" t="n">
        <v>100.58</v>
      </c>
      <c r="J57" s="6" t="n">
        <v>99.19</v>
      </c>
      <c r="K57" s="6" t="n">
        <v>110.18</v>
      </c>
      <c r="L57" s="6" t="n">
        <v>3.83</v>
      </c>
      <c r="M57" s="6"/>
      <c r="N57" s="6" t="n">
        <v>110.18</v>
      </c>
      <c r="O57" s="6" t="n">
        <v>109.87</v>
      </c>
      <c r="P57" s="6" t="n">
        <v>109.06</v>
      </c>
      <c r="Q57" s="6" t="n">
        <v>108.31</v>
      </c>
      <c r="R57" s="6" t="n">
        <v>107.65</v>
      </c>
      <c r="S57" s="6" t="n">
        <v>106.99</v>
      </c>
      <c r="T57" s="6" t="n">
        <v>106.34</v>
      </c>
      <c r="U57" s="6" t="n">
        <v>105.67</v>
      </c>
      <c r="V57" s="6" t="n">
        <v>104.94</v>
      </c>
    </row>
    <row r="58" customFormat="false" ht="15" hidden="false" customHeight="false" outlineLevel="0" collapsed="false">
      <c r="A58" s="2" t="s">
        <v>56</v>
      </c>
      <c r="B58" s="2" t="s">
        <v>80</v>
      </c>
      <c r="C58" s="3" t="n">
        <v>85</v>
      </c>
      <c r="D58" s="4" t="n">
        <v>379.52</v>
      </c>
      <c r="E58" s="5" t="n">
        <v>0.075</v>
      </c>
      <c r="F58" s="4" t="n">
        <v>150</v>
      </c>
      <c r="G58" s="6" t="n">
        <v>107.25</v>
      </c>
      <c r="H58" s="6" t="n">
        <v>102.28</v>
      </c>
      <c r="I58" s="6" t="n">
        <v>100.09</v>
      </c>
      <c r="J58" s="6" t="n">
        <v>99.2</v>
      </c>
      <c r="K58" s="6" t="n">
        <v>108.83</v>
      </c>
      <c r="L58" s="6" t="n">
        <v>3.48</v>
      </c>
      <c r="M58" s="6"/>
      <c r="N58" s="6"/>
      <c r="O58" s="6" t="n">
        <v>108.83</v>
      </c>
      <c r="P58" s="6" t="n">
        <v>108.81</v>
      </c>
      <c r="Q58" s="6" t="n">
        <v>108.51</v>
      </c>
      <c r="R58" s="6" t="n">
        <v>108.17</v>
      </c>
      <c r="S58" s="6" t="n">
        <v>107.18</v>
      </c>
      <c r="T58" s="6" t="n">
        <v>106.21</v>
      </c>
      <c r="U58" s="6" t="n">
        <v>105.51</v>
      </c>
      <c r="V58" s="6" t="n">
        <v>104.8</v>
      </c>
    </row>
    <row r="59" customFormat="false" ht="15" hidden="false" customHeight="false" outlineLevel="0" collapsed="false">
      <c r="A59" s="2" t="s">
        <v>56</v>
      </c>
      <c r="B59" s="2" t="s">
        <v>81</v>
      </c>
      <c r="C59" s="3" t="n">
        <v>90</v>
      </c>
      <c r="D59" s="4" t="n">
        <v>382.86</v>
      </c>
      <c r="E59" s="5" t="n">
        <v>0.08</v>
      </c>
      <c r="F59" s="4" t="n">
        <v>150</v>
      </c>
      <c r="G59" s="6" t="n">
        <v>107.68</v>
      </c>
      <c r="H59" s="6" t="n">
        <v>102.72</v>
      </c>
      <c r="I59" s="6" t="n">
        <v>100.61</v>
      </c>
      <c r="J59" s="6" t="n">
        <v>99.2</v>
      </c>
      <c r="K59" s="6" t="n">
        <v>110.08</v>
      </c>
      <c r="L59" s="6" t="n">
        <v>3.9</v>
      </c>
      <c r="M59" s="6"/>
      <c r="N59" s="6" t="n">
        <v>110.08</v>
      </c>
      <c r="O59" s="6" t="n">
        <v>109.74</v>
      </c>
      <c r="P59" s="6" t="n">
        <v>109.26</v>
      </c>
      <c r="Q59" s="6" t="n">
        <v>108.58</v>
      </c>
      <c r="R59" s="6" t="n">
        <v>107.83</v>
      </c>
      <c r="S59" s="6" t="n">
        <v>107.16</v>
      </c>
      <c r="T59" s="6" t="n">
        <v>106.51</v>
      </c>
      <c r="U59" s="6" t="n">
        <v>105.54</v>
      </c>
      <c r="V59" s="6" t="n">
        <v>104.45</v>
      </c>
    </row>
    <row r="60" customFormat="false" ht="15" hidden="false" customHeight="false" outlineLevel="0" collapsed="false">
      <c r="A60" s="2" t="s">
        <v>56</v>
      </c>
      <c r="B60" s="2" t="s">
        <v>82</v>
      </c>
      <c r="C60" s="3" t="n">
        <v>95</v>
      </c>
      <c r="D60" s="4" t="n">
        <v>386.24</v>
      </c>
      <c r="E60" s="5" t="n">
        <v>0.085</v>
      </c>
      <c r="F60" s="4" t="n">
        <v>145</v>
      </c>
      <c r="G60" s="6" t="n">
        <v>108.53</v>
      </c>
      <c r="H60" s="6" t="n">
        <v>103.5</v>
      </c>
      <c r="I60" s="6" t="n">
        <v>102.2</v>
      </c>
      <c r="J60" s="6" t="n">
        <v>99.15</v>
      </c>
      <c r="K60" s="6" t="n">
        <v>110.54</v>
      </c>
      <c r="L60" s="6" t="n">
        <v>4.21</v>
      </c>
      <c r="M60" s="6" t="n">
        <v>110.54</v>
      </c>
      <c r="N60" s="6" t="n">
        <v>110.4</v>
      </c>
      <c r="O60" s="6" t="n">
        <v>110.02</v>
      </c>
      <c r="P60" s="6" t="n">
        <v>109.57</v>
      </c>
      <c r="Q60" s="6" t="n">
        <v>109</v>
      </c>
      <c r="R60" s="6" t="n">
        <v>108.47</v>
      </c>
      <c r="S60" s="6" t="n">
        <v>108.01</v>
      </c>
      <c r="T60" s="6" t="n">
        <v>107.35</v>
      </c>
      <c r="U60" s="6" t="n">
        <v>106.38</v>
      </c>
      <c r="V60" s="6" t="n">
        <v>105.52</v>
      </c>
    </row>
    <row r="61" customFormat="false" ht="15" hidden="false" customHeight="false" outlineLevel="0" collapsed="false">
      <c r="A61" s="2" t="s">
        <v>56</v>
      </c>
      <c r="B61" s="2" t="s">
        <v>83</v>
      </c>
      <c r="C61" s="3" t="n">
        <v>100</v>
      </c>
      <c r="D61" s="4" t="n">
        <v>389.55</v>
      </c>
      <c r="E61" s="5" t="n">
        <v>0.09</v>
      </c>
      <c r="F61" s="4" t="n">
        <v>150</v>
      </c>
      <c r="G61" s="6" t="n">
        <v>108.71</v>
      </c>
      <c r="H61" s="6" t="n">
        <v>103.23</v>
      </c>
      <c r="I61" s="6" t="n">
        <v>101.62</v>
      </c>
      <c r="J61" s="6" t="n">
        <v>99.06</v>
      </c>
      <c r="K61" s="6" t="n">
        <v>110.97</v>
      </c>
      <c r="L61" s="6" t="n">
        <v>4.14</v>
      </c>
      <c r="M61" s="6"/>
      <c r="N61" s="6" t="n">
        <v>110.97</v>
      </c>
      <c r="O61" s="6" t="n">
        <v>110.94</v>
      </c>
      <c r="P61" s="6" t="n">
        <v>110.12</v>
      </c>
      <c r="Q61" s="6" t="n">
        <v>109.32</v>
      </c>
      <c r="R61" s="6" t="n">
        <v>108.84</v>
      </c>
      <c r="S61" s="6" t="n">
        <v>108.34</v>
      </c>
      <c r="T61" s="6" t="n">
        <v>107.45</v>
      </c>
      <c r="U61" s="6" t="n">
        <v>106.56</v>
      </c>
      <c r="V61" s="6" t="n">
        <v>105.86</v>
      </c>
    </row>
    <row r="62" customFormat="false" ht="15" hidden="false" customHeight="false" outlineLevel="0" collapsed="false">
      <c r="A62" s="2" t="s">
        <v>56</v>
      </c>
      <c r="B62" s="2" t="s">
        <v>84</v>
      </c>
      <c r="C62" s="3" t="n">
        <v>105</v>
      </c>
      <c r="D62" s="4" t="n">
        <v>392.93</v>
      </c>
      <c r="E62" s="5" t="n">
        <v>0.095</v>
      </c>
      <c r="F62" s="4" t="n">
        <v>150</v>
      </c>
      <c r="G62" s="6" t="n">
        <v>108.92</v>
      </c>
      <c r="H62" s="6" t="n">
        <v>103.51</v>
      </c>
      <c r="I62" s="6" t="n">
        <v>101.34</v>
      </c>
      <c r="J62" s="6" t="n">
        <v>99.14</v>
      </c>
      <c r="K62" s="6" t="n">
        <v>111.34</v>
      </c>
      <c r="L62" s="6" t="n">
        <v>4.5</v>
      </c>
      <c r="M62" s="6" t="n">
        <v>111.34</v>
      </c>
      <c r="N62" s="6" t="n">
        <v>111.06</v>
      </c>
      <c r="O62" s="6" t="n">
        <v>110.68</v>
      </c>
      <c r="P62" s="6" t="n">
        <v>110.15</v>
      </c>
      <c r="Q62" s="6" t="n">
        <v>109.56</v>
      </c>
      <c r="R62" s="6" t="n">
        <v>108.98</v>
      </c>
      <c r="S62" s="6" t="n">
        <v>108.4</v>
      </c>
      <c r="T62" s="6" t="n">
        <v>107.41</v>
      </c>
      <c r="U62" s="6" t="n">
        <v>106.24</v>
      </c>
      <c r="V62" s="6" t="n">
        <v>105.4</v>
      </c>
    </row>
    <row r="63" customFormat="false" ht="15" hidden="false" customHeight="false" outlineLevel="0" collapsed="false">
      <c r="A63" s="2" t="s">
        <v>56</v>
      </c>
      <c r="B63" s="2" t="s">
        <v>85</v>
      </c>
      <c r="C63" s="3" t="n">
        <v>110</v>
      </c>
      <c r="D63" s="4" t="n">
        <v>396.26</v>
      </c>
      <c r="E63" s="5" t="n">
        <v>0.105</v>
      </c>
      <c r="F63" s="4" t="n">
        <v>150</v>
      </c>
      <c r="G63" s="6" t="n">
        <v>108.29</v>
      </c>
      <c r="H63" s="6" t="n">
        <v>103.04</v>
      </c>
      <c r="I63" s="6" t="n">
        <v>100.28</v>
      </c>
      <c r="J63" s="6" t="n">
        <v>99.14</v>
      </c>
      <c r="K63" s="6" t="n">
        <v>110.6</v>
      </c>
      <c r="L63" s="6" t="n">
        <v>4.21</v>
      </c>
      <c r="M63" s="6" t="n">
        <v>110.6</v>
      </c>
      <c r="N63" s="6" t="n">
        <v>110.47</v>
      </c>
      <c r="O63" s="6" t="n">
        <v>110.11</v>
      </c>
      <c r="P63" s="6" t="n">
        <v>109.73</v>
      </c>
      <c r="Q63" s="6" t="n">
        <v>109.29</v>
      </c>
      <c r="R63" s="6" t="n">
        <v>108.59</v>
      </c>
      <c r="S63" s="6" t="n">
        <v>107.42</v>
      </c>
      <c r="T63" s="6" t="n">
        <v>106.39</v>
      </c>
      <c r="U63" s="6" t="n">
        <v>105.58</v>
      </c>
      <c r="V63" s="6" t="n">
        <v>104.75</v>
      </c>
    </row>
    <row r="64" customFormat="false" ht="15" hidden="false" customHeight="false" outlineLevel="0" collapsed="false">
      <c r="A64" s="2" t="s">
        <v>56</v>
      </c>
      <c r="B64" s="2" t="s">
        <v>86</v>
      </c>
      <c r="C64" s="3" t="n">
        <v>115</v>
      </c>
      <c r="D64" s="4" t="n">
        <v>399.61</v>
      </c>
      <c r="E64" s="5" t="n">
        <v>0.11</v>
      </c>
      <c r="F64" s="4" t="n">
        <v>155</v>
      </c>
      <c r="G64" s="6" t="n">
        <v>108.18</v>
      </c>
      <c r="H64" s="6" t="n">
        <v>102.66</v>
      </c>
      <c r="I64" s="6" t="n">
        <v>100.62</v>
      </c>
      <c r="J64" s="6" t="n">
        <v>99.15</v>
      </c>
      <c r="K64" s="6" t="n">
        <v>110.53</v>
      </c>
      <c r="L64" s="6" t="n">
        <v>3.98</v>
      </c>
      <c r="M64" s="6"/>
      <c r="N64" s="6" t="n">
        <v>110.53</v>
      </c>
      <c r="O64" s="6" t="n">
        <v>110.51</v>
      </c>
      <c r="P64" s="6" t="n">
        <v>110.11</v>
      </c>
      <c r="Q64" s="6" t="n">
        <v>109.68</v>
      </c>
      <c r="R64" s="6" t="n">
        <v>108.57</v>
      </c>
      <c r="S64" s="6" t="n">
        <v>107.47</v>
      </c>
      <c r="T64" s="6" t="n">
        <v>106.51</v>
      </c>
      <c r="U64" s="6" t="n">
        <v>105.56</v>
      </c>
      <c r="V64" s="6" t="n">
        <v>104.71</v>
      </c>
    </row>
    <row r="65" customFormat="false" ht="15" hidden="false" customHeight="false" outlineLevel="0" collapsed="false">
      <c r="A65" s="2" t="s">
        <v>56</v>
      </c>
      <c r="B65" s="2" t="s">
        <v>87</v>
      </c>
      <c r="C65" s="3" t="n">
        <v>120</v>
      </c>
      <c r="D65" s="4" t="n">
        <v>402.97</v>
      </c>
      <c r="E65" s="5" t="n">
        <v>0.11</v>
      </c>
      <c r="F65" s="4" t="n">
        <v>185</v>
      </c>
      <c r="G65" s="6" t="n">
        <v>109.07</v>
      </c>
      <c r="H65" s="6" t="n">
        <v>103.27</v>
      </c>
      <c r="I65" s="6" t="n">
        <v>101.88</v>
      </c>
      <c r="J65" s="6" t="n">
        <v>99.15</v>
      </c>
      <c r="K65" s="6" t="n">
        <v>111.1</v>
      </c>
      <c r="L65" s="6" t="n">
        <v>4.12</v>
      </c>
      <c r="M65" s="6"/>
      <c r="N65" s="6" t="n">
        <v>111.1</v>
      </c>
      <c r="O65" s="6" t="n">
        <v>110.94</v>
      </c>
      <c r="P65" s="6" t="n">
        <v>110.7</v>
      </c>
      <c r="Q65" s="6" t="n">
        <v>110.39</v>
      </c>
      <c r="R65" s="6" t="n">
        <v>110.05</v>
      </c>
      <c r="S65" s="6" t="n">
        <v>108.91</v>
      </c>
      <c r="T65" s="6" t="n">
        <v>107.43</v>
      </c>
      <c r="U65" s="6" t="n">
        <v>106.43</v>
      </c>
      <c r="V65" s="6" t="n">
        <v>105.64</v>
      </c>
    </row>
    <row r="66" customFormat="false" ht="15" hidden="false" customHeight="false" outlineLevel="0" collapsed="false">
      <c r="A66" s="2" t="s">
        <v>56</v>
      </c>
      <c r="B66" s="2" t="s">
        <v>88</v>
      </c>
      <c r="C66" s="3" t="n">
        <v>125</v>
      </c>
      <c r="D66" s="4" t="n">
        <v>406.33</v>
      </c>
      <c r="E66" s="5" t="n">
        <v>0.115</v>
      </c>
      <c r="F66" s="4" t="n">
        <v>205</v>
      </c>
      <c r="G66" s="6" t="n">
        <v>109.75</v>
      </c>
      <c r="H66" s="6" t="n">
        <v>104.05</v>
      </c>
      <c r="I66" s="6" t="n">
        <v>103.67</v>
      </c>
      <c r="J66" s="6" t="n">
        <v>99.03</v>
      </c>
      <c r="K66" s="6" t="n">
        <v>111.92</v>
      </c>
      <c r="L66" s="6" t="n">
        <v>4.26</v>
      </c>
      <c r="M66" s="6" t="n">
        <v>111.92</v>
      </c>
      <c r="N66" s="6" t="n">
        <v>111.82</v>
      </c>
      <c r="O66" s="6" t="n">
        <v>111.55</v>
      </c>
      <c r="P66" s="6" t="n">
        <v>111.24</v>
      </c>
      <c r="Q66" s="6" t="n">
        <v>110.86</v>
      </c>
      <c r="R66" s="6" t="n">
        <v>110.14</v>
      </c>
      <c r="S66" s="6" t="n">
        <v>108.85</v>
      </c>
      <c r="T66" s="6" t="n">
        <v>107.77</v>
      </c>
      <c r="U66" s="6" t="n">
        <v>107.08</v>
      </c>
      <c r="V66" s="6" t="n">
        <v>106.28</v>
      </c>
    </row>
    <row r="67" customFormat="false" ht="15" hidden="false" customHeight="false" outlineLevel="0" collapsed="false">
      <c r="A67" s="2" t="s">
        <v>56</v>
      </c>
      <c r="B67" s="2" t="s">
        <v>89</v>
      </c>
      <c r="C67" s="3" t="n">
        <v>130</v>
      </c>
      <c r="D67" s="4" t="n">
        <v>409.66</v>
      </c>
      <c r="E67" s="5" t="n">
        <v>0.12</v>
      </c>
      <c r="F67" s="4" t="n">
        <v>210</v>
      </c>
      <c r="G67" s="6" t="n">
        <v>109.53</v>
      </c>
      <c r="H67" s="6" t="n">
        <v>103.98</v>
      </c>
      <c r="I67" s="6" t="n">
        <v>103.61</v>
      </c>
      <c r="J67" s="6" t="n">
        <v>99.12</v>
      </c>
      <c r="K67" s="6" t="n">
        <v>111.75</v>
      </c>
      <c r="L67" s="6" t="n">
        <v>4.12</v>
      </c>
      <c r="M67" s="6"/>
      <c r="N67" s="6" t="n">
        <v>111.75</v>
      </c>
      <c r="O67" s="6" t="n">
        <v>111.73</v>
      </c>
      <c r="P67" s="6" t="n">
        <v>111.33</v>
      </c>
      <c r="Q67" s="6" t="n">
        <v>110.91</v>
      </c>
      <c r="R67" s="6" t="n">
        <v>109.87</v>
      </c>
      <c r="S67" s="6" t="n">
        <v>108.84</v>
      </c>
      <c r="T67" s="6" t="n">
        <v>108</v>
      </c>
      <c r="U67" s="6" t="n">
        <v>107.15</v>
      </c>
      <c r="V67" s="6" t="n">
        <v>106.21</v>
      </c>
    </row>
    <row r="68" customFormat="false" ht="15" hidden="false" customHeight="false" outlineLevel="0" collapsed="false">
      <c r="A68" s="2" t="s">
        <v>90</v>
      </c>
      <c r="B68" s="2" t="s">
        <v>91</v>
      </c>
      <c r="C68" s="3" t="n">
        <v>-100</v>
      </c>
      <c r="D68" s="4" t="n">
        <v>496.55</v>
      </c>
      <c r="E68" s="5" t="n">
        <v>0.1</v>
      </c>
      <c r="F68" s="4" t="n">
        <v>130</v>
      </c>
      <c r="G68" s="6" t="n">
        <v>102.65</v>
      </c>
      <c r="H68" s="6" t="n">
        <v>101.94</v>
      </c>
      <c r="I68" s="6" t="n">
        <v>101.99</v>
      </c>
      <c r="J68" s="6" t="n">
        <v>100.65</v>
      </c>
      <c r="K68" s="6" t="n">
        <v>103.96</v>
      </c>
      <c r="L68" s="6" t="n">
        <v>0.91</v>
      </c>
      <c r="M68" s="6"/>
      <c r="N68" s="6" t="n">
        <v>103.2</v>
      </c>
      <c r="O68" s="6" t="n">
        <v>103.15</v>
      </c>
      <c r="P68" s="6" t="n">
        <v>103</v>
      </c>
      <c r="Q68" s="6" t="n">
        <v>102.83</v>
      </c>
      <c r="R68" s="6" t="n">
        <v>102.64</v>
      </c>
      <c r="S68" s="6" t="n">
        <v>102.48</v>
      </c>
      <c r="T68" s="6" t="n">
        <v>102.37</v>
      </c>
      <c r="U68" s="6" t="n">
        <v>102.21</v>
      </c>
      <c r="V68" s="6" t="n">
        <v>101.95</v>
      </c>
    </row>
    <row r="69" customFormat="false" ht="15" hidden="false" customHeight="false" outlineLevel="0" collapsed="false">
      <c r="A69" s="2" t="s">
        <v>90</v>
      </c>
      <c r="B69" s="2" t="s">
        <v>92</v>
      </c>
      <c r="C69" s="3" t="n">
        <v>-50</v>
      </c>
      <c r="D69" s="4" t="n">
        <v>446.55</v>
      </c>
      <c r="E69" s="5" t="n">
        <v>0.05</v>
      </c>
      <c r="F69" s="4" t="n">
        <v>130</v>
      </c>
      <c r="G69" s="6" t="n">
        <v>102.63</v>
      </c>
      <c r="H69" s="6" t="n">
        <v>101.96</v>
      </c>
      <c r="I69" s="6" t="n">
        <v>102.19</v>
      </c>
      <c r="J69" s="6" t="n">
        <v>100.65</v>
      </c>
      <c r="K69" s="6" t="n">
        <v>103.96</v>
      </c>
      <c r="L69" s="6" t="n">
        <v>0.92</v>
      </c>
      <c r="M69" s="6" t="n">
        <v>102.68</v>
      </c>
      <c r="N69" s="6" t="n">
        <v>102.99</v>
      </c>
      <c r="O69" s="6" t="n">
        <v>103.14</v>
      </c>
      <c r="P69" s="6" t="n">
        <v>102.99</v>
      </c>
      <c r="Q69" s="6" t="n">
        <v>102.83</v>
      </c>
      <c r="R69" s="6" t="n">
        <v>102.64</v>
      </c>
      <c r="S69" s="6" t="n">
        <v>102.48</v>
      </c>
      <c r="T69" s="6" t="n">
        <v>102.37</v>
      </c>
      <c r="U69" s="6" t="n">
        <v>102.21</v>
      </c>
      <c r="V69" s="6" t="n">
        <v>101.95</v>
      </c>
    </row>
    <row r="70" customFormat="false" ht="15" hidden="false" customHeight="false" outlineLevel="0" collapsed="false">
      <c r="A70" s="2" t="s">
        <v>90</v>
      </c>
      <c r="B70" s="2" t="s">
        <v>93</v>
      </c>
      <c r="C70" s="3" t="n">
        <v>-20</v>
      </c>
      <c r="D70" s="4" t="n">
        <v>416.55</v>
      </c>
      <c r="E70" s="5" t="n">
        <v>0.03</v>
      </c>
      <c r="F70" s="4" t="n">
        <v>120</v>
      </c>
      <c r="G70" s="6" t="n">
        <v>102.38</v>
      </c>
      <c r="H70" s="6" t="n">
        <v>101.92</v>
      </c>
      <c r="I70" s="6" t="n">
        <v>101.99</v>
      </c>
      <c r="J70" s="6" t="n">
        <v>100.65</v>
      </c>
      <c r="K70" s="6" t="n">
        <v>103.96</v>
      </c>
      <c r="L70" s="6" t="n">
        <v>0.9</v>
      </c>
      <c r="M70" s="6" t="n">
        <v>103.14</v>
      </c>
      <c r="N70" s="6" t="n">
        <v>102.99</v>
      </c>
      <c r="O70" s="6" t="n">
        <v>102.83</v>
      </c>
      <c r="P70" s="6" t="n">
        <v>102.64</v>
      </c>
      <c r="Q70" s="6" t="n">
        <v>102.48</v>
      </c>
      <c r="R70" s="6" t="n">
        <v>102.37</v>
      </c>
      <c r="S70" s="6" t="n">
        <v>102.21</v>
      </c>
      <c r="T70" s="6" t="n">
        <v>101.95</v>
      </c>
      <c r="U70" s="6" t="n">
        <v>101.71</v>
      </c>
      <c r="V70" s="6" t="n">
        <v>101.52</v>
      </c>
    </row>
    <row r="71" customFormat="false" ht="15" hidden="false" customHeight="false" outlineLevel="0" collapsed="false">
      <c r="A71" s="2" t="s">
        <v>90</v>
      </c>
      <c r="B71" s="2" t="s">
        <v>94</v>
      </c>
      <c r="C71" s="3" t="n">
        <v>-15</v>
      </c>
      <c r="D71" s="4" t="n">
        <v>411.54</v>
      </c>
      <c r="E71" s="5" t="n">
        <v>0.03</v>
      </c>
      <c r="F71" s="4" t="n">
        <v>115</v>
      </c>
      <c r="G71" s="6" t="n">
        <v>102.2</v>
      </c>
      <c r="H71" s="6" t="n">
        <v>101.86</v>
      </c>
      <c r="I71" s="6" t="n">
        <v>101.92</v>
      </c>
      <c r="J71" s="6" t="n">
        <v>100.72</v>
      </c>
      <c r="K71" s="6" t="n">
        <v>103.79</v>
      </c>
      <c r="L71" s="6" t="n">
        <v>0.85</v>
      </c>
      <c r="M71" s="6" t="n">
        <v>102.99</v>
      </c>
      <c r="N71" s="6" t="n">
        <v>102.81</v>
      </c>
      <c r="O71" s="6" t="n">
        <v>102.65</v>
      </c>
      <c r="P71" s="6" t="n">
        <v>102.49</v>
      </c>
      <c r="Q71" s="6" t="n">
        <v>102.35</v>
      </c>
      <c r="R71" s="6" t="n">
        <v>102.2</v>
      </c>
      <c r="S71" s="6" t="n">
        <v>101.96</v>
      </c>
      <c r="T71" s="6" t="n">
        <v>101.7</v>
      </c>
      <c r="U71" s="6" t="n">
        <v>101.51</v>
      </c>
      <c r="V71" s="6" t="n">
        <v>101.34</v>
      </c>
    </row>
    <row r="72" customFormat="false" ht="15" hidden="false" customHeight="false" outlineLevel="0" collapsed="false">
      <c r="A72" s="2" t="s">
        <v>90</v>
      </c>
      <c r="B72" s="2" t="s">
        <v>95</v>
      </c>
      <c r="C72" s="3" t="n">
        <v>-10</v>
      </c>
      <c r="D72" s="4" t="n">
        <v>406.55</v>
      </c>
      <c r="E72" s="5" t="n">
        <v>0.035</v>
      </c>
      <c r="F72" s="4" t="n">
        <v>105</v>
      </c>
      <c r="G72" s="6" t="n">
        <v>101.82</v>
      </c>
      <c r="H72" s="6" t="n">
        <v>101.76</v>
      </c>
      <c r="I72" s="6" t="n">
        <v>101.59</v>
      </c>
      <c r="J72" s="6" t="n">
        <v>100.65</v>
      </c>
      <c r="K72" s="6" t="n">
        <v>103.96</v>
      </c>
      <c r="L72" s="6" t="n">
        <v>0.84</v>
      </c>
      <c r="M72" s="6" t="n">
        <v>102.64</v>
      </c>
      <c r="N72" s="6" t="n">
        <v>102.48</v>
      </c>
      <c r="O72" s="6" t="n">
        <v>102.37</v>
      </c>
      <c r="P72" s="6" t="n">
        <v>102.21</v>
      </c>
      <c r="Q72" s="6" t="n">
        <v>101.95</v>
      </c>
      <c r="R72" s="6" t="n">
        <v>101.72</v>
      </c>
      <c r="S72" s="6" t="n">
        <v>101.52</v>
      </c>
      <c r="T72" s="6" t="n">
        <v>101.32</v>
      </c>
      <c r="U72" s="6" t="n">
        <v>101.11</v>
      </c>
      <c r="V72" s="6" t="n">
        <v>100.92</v>
      </c>
    </row>
    <row r="73" customFormat="false" ht="15" hidden="false" customHeight="false" outlineLevel="0" collapsed="false">
      <c r="A73" s="2" t="s">
        <v>90</v>
      </c>
      <c r="B73" s="2" t="s">
        <v>96</v>
      </c>
      <c r="C73" s="3" t="n">
        <v>-5</v>
      </c>
      <c r="D73" s="4" t="n">
        <v>401.56</v>
      </c>
      <c r="E73" s="5" t="n">
        <v>0.03</v>
      </c>
      <c r="F73" s="4" t="n">
        <v>105</v>
      </c>
      <c r="G73" s="6" t="n">
        <v>101.82</v>
      </c>
      <c r="H73" s="6" t="n">
        <v>101.75</v>
      </c>
      <c r="I73" s="6" t="n">
        <v>101.66</v>
      </c>
      <c r="J73" s="6" t="n">
        <v>100.72</v>
      </c>
      <c r="K73" s="6" t="n">
        <v>103.79</v>
      </c>
      <c r="L73" s="6" t="n">
        <v>0.8</v>
      </c>
      <c r="M73" s="6" t="n">
        <v>102.65</v>
      </c>
      <c r="N73" s="6" t="n">
        <v>102.49</v>
      </c>
      <c r="O73" s="6" t="n">
        <v>102.35</v>
      </c>
      <c r="P73" s="6" t="n">
        <v>102.2</v>
      </c>
      <c r="Q73" s="6" t="n">
        <v>101.96</v>
      </c>
      <c r="R73" s="6" t="n">
        <v>101.7</v>
      </c>
      <c r="S73" s="6" t="n">
        <v>101.51</v>
      </c>
      <c r="T73" s="6" t="n">
        <v>101.34</v>
      </c>
      <c r="U73" s="6" t="n">
        <v>101.1</v>
      </c>
      <c r="V73" s="6" t="n">
        <v>100.85</v>
      </c>
    </row>
    <row r="74" customFormat="false" ht="15" hidden="false" customHeight="false" outlineLevel="0" collapsed="false">
      <c r="A74" s="2" t="s">
        <v>90</v>
      </c>
      <c r="B74" s="2" t="s">
        <v>97</v>
      </c>
      <c r="C74" s="3" t="n">
        <v>0</v>
      </c>
      <c r="D74" s="4" t="n">
        <v>396.55</v>
      </c>
      <c r="E74" s="5" t="n">
        <v>0.035</v>
      </c>
      <c r="F74" s="4" t="n">
        <v>95</v>
      </c>
      <c r="G74" s="6" t="n">
        <v>101.46</v>
      </c>
      <c r="H74" s="6" t="n">
        <v>101.67</v>
      </c>
      <c r="I74" s="6" t="n">
        <v>101.39</v>
      </c>
      <c r="J74" s="6" t="n">
        <v>100.65</v>
      </c>
      <c r="K74" s="6" t="n">
        <v>103.96</v>
      </c>
      <c r="L74" s="6" t="n">
        <v>0.83</v>
      </c>
      <c r="M74" s="6" t="n">
        <v>102.37</v>
      </c>
      <c r="N74" s="6" t="n">
        <v>102.21</v>
      </c>
      <c r="O74" s="6" t="n">
        <v>101.95</v>
      </c>
      <c r="P74" s="6" t="n">
        <v>101.71</v>
      </c>
      <c r="Q74" s="6" t="n">
        <v>101.52</v>
      </c>
      <c r="R74" s="6" t="n">
        <v>101.32</v>
      </c>
      <c r="S74" s="6" t="n">
        <v>101.11</v>
      </c>
      <c r="T74" s="6" t="n">
        <v>100.92</v>
      </c>
      <c r="U74" s="6" t="n">
        <v>100.75</v>
      </c>
      <c r="V74" s="6" t="n">
        <v>100.72</v>
      </c>
    </row>
    <row r="75" customFormat="false" ht="15" hidden="false" customHeight="false" outlineLevel="0" collapsed="false">
      <c r="A75" s="2" t="s">
        <v>90</v>
      </c>
      <c r="B75" s="2" t="s">
        <v>98</v>
      </c>
      <c r="C75" s="3" t="n">
        <v>5</v>
      </c>
      <c r="D75" s="4" t="n">
        <v>396.42</v>
      </c>
      <c r="E75" s="5" t="n">
        <v>0.035</v>
      </c>
      <c r="F75" s="4" t="n">
        <v>105</v>
      </c>
      <c r="G75" s="6" t="n">
        <v>101.52</v>
      </c>
      <c r="H75" s="6" t="n">
        <v>102.02</v>
      </c>
      <c r="I75" s="6" t="n">
        <v>101.72</v>
      </c>
      <c r="J75" s="6" t="n">
        <v>100.69</v>
      </c>
      <c r="K75" s="6" t="n">
        <v>106.12</v>
      </c>
      <c r="L75" s="6" t="n">
        <v>1.32</v>
      </c>
      <c r="M75" s="6" t="n">
        <v>102.37</v>
      </c>
      <c r="N75" s="6" t="n">
        <v>102.18</v>
      </c>
      <c r="O75" s="6" t="n">
        <v>102.04</v>
      </c>
      <c r="P75" s="6" t="n">
        <v>101.86</v>
      </c>
      <c r="Q75" s="6" t="n">
        <v>101.61</v>
      </c>
      <c r="R75" s="6" t="n">
        <v>101.38</v>
      </c>
      <c r="S75" s="6" t="n">
        <v>101.21</v>
      </c>
      <c r="T75" s="6" t="n">
        <v>101.03</v>
      </c>
      <c r="U75" s="6" t="n">
        <v>100.83</v>
      </c>
      <c r="V75" s="6" t="n">
        <v>100.73</v>
      </c>
    </row>
    <row r="76" customFormat="false" ht="15" hidden="false" customHeight="false" outlineLevel="0" collapsed="false">
      <c r="A76" s="2" t="s">
        <v>90</v>
      </c>
      <c r="B76" s="2" t="s">
        <v>99</v>
      </c>
      <c r="C76" s="3" t="n">
        <v>10</v>
      </c>
      <c r="D76" s="4" t="n">
        <v>399.23</v>
      </c>
      <c r="E76" s="5" t="n">
        <v>0.035</v>
      </c>
      <c r="F76" s="4" t="n">
        <v>105</v>
      </c>
      <c r="G76" s="6" t="n">
        <v>101.71</v>
      </c>
      <c r="H76" s="6" t="n">
        <v>101.97</v>
      </c>
      <c r="I76" s="6" t="n">
        <v>101.71</v>
      </c>
      <c r="J76" s="6" t="n">
        <v>100.69</v>
      </c>
      <c r="K76" s="6" t="n">
        <v>105.42</v>
      </c>
      <c r="L76" s="6" t="n">
        <v>1.13</v>
      </c>
      <c r="M76" s="6" t="n">
        <v>102.67</v>
      </c>
      <c r="N76" s="6" t="n">
        <v>102.46</v>
      </c>
      <c r="O76" s="6" t="n">
        <v>102.32</v>
      </c>
      <c r="P76" s="6" t="n">
        <v>102.16</v>
      </c>
      <c r="Q76" s="6" t="n">
        <v>101.87</v>
      </c>
      <c r="R76" s="6" t="n">
        <v>101.59</v>
      </c>
      <c r="S76" s="6" t="n">
        <v>101.33</v>
      </c>
      <c r="T76" s="6" t="n">
        <v>101.08</v>
      </c>
      <c r="U76" s="6" t="n">
        <v>100.88</v>
      </c>
      <c r="V76" s="6" t="n">
        <v>100.71</v>
      </c>
    </row>
    <row r="77" customFormat="false" ht="15" hidden="false" customHeight="false" outlineLevel="0" collapsed="false">
      <c r="A77" s="2" t="s">
        <v>90</v>
      </c>
      <c r="B77" s="2" t="s">
        <v>100</v>
      </c>
      <c r="C77" s="3" t="n">
        <v>15</v>
      </c>
      <c r="D77" s="4" t="n">
        <v>402.59</v>
      </c>
      <c r="E77" s="5" t="n">
        <v>0.03</v>
      </c>
      <c r="F77" s="4" t="n">
        <v>110</v>
      </c>
      <c r="G77" s="6" t="n">
        <v>102.26</v>
      </c>
      <c r="H77" s="6" t="n">
        <v>102.08</v>
      </c>
      <c r="I77" s="6" t="n">
        <v>102.15</v>
      </c>
      <c r="J77" s="6" t="n">
        <v>100.61</v>
      </c>
      <c r="K77" s="6" t="n">
        <v>104.94</v>
      </c>
      <c r="L77" s="6" t="n">
        <v>1.09</v>
      </c>
      <c r="M77" s="6" t="n">
        <v>103.23</v>
      </c>
      <c r="N77" s="6" t="n">
        <v>103.1</v>
      </c>
      <c r="O77" s="6" t="n">
        <v>102.89</v>
      </c>
      <c r="P77" s="6" t="n">
        <v>102.67</v>
      </c>
      <c r="Q77" s="6" t="n">
        <v>102.44</v>
      </c>
      <c r="R77" s="6" t="n">
        <v>102.21</v>
      </c>
      <c r="S77" s="6" t="n">
        <v>101.95</v>
      </c>
      <c r="T77" s="6" t="n">
        <v>101.68</v>
      </c>
      <c r="U77" s="6" t="n">
        <v>101.39</v>
      </c>
      <c r="V77" s="6" t="n">
        <v>101.1</v>
      </c>
    </row>
    <row r="78" customFormat="false" ht="15" hidden="false" customHeight="false" outlineLevel="0" collapsed="false">
      <c r="A78" s="2" t="s">
        <v>90</v>
      </c>
      <c r="B78" s="2" t="s">
        <v>101</v>
      </c>
      <c r="C78" s="3" t="n">
        <v>20</v>
      </c>
      <c r="D78" s="4" t="n">
        <v>405.92</v>
      </c>
      <c r="E78" s="5" t="n">
        <v>0.035</v>
      </c>
      <c r="F78" s="4" t="n">
        <v>110</v>
      </c>
      <c r="G78" s="6" t="n">
        <v>102.2</v>
      </c>
      <c r="H78" s="6" t="n">
        <v>102.11</v>
      </c>
      <c r="I78" s="6" t="n">
        <v>102.11</v>
      </c>
      <c r="J78" s="6" t="n">
        <v>100.81</v>
      </c>
      <c r="K78" s="6" t="n">
        <v>104.84</v>
      </c>
      <c r="L78" s="6" t="n">
        <v>1.08</v>
      </c>
      <c r="M78" s="6" t="n">
        <v>103.42</v>
      </c>
      <c r="N78" s="6" t="n">
        <v>103.22</v>
      </c>
      <c r="O78" s="6" t="n">
        <v>102.94</v>
      </c>
      <c r="P78" s="6" t="n">
        <v>102.64</v>
      </c>
      <c r="Q78" s="6" t="n">
        <v>102.3</v>
      </c>
      <c r="R78" s="6" t="n">
        <v>102.02</v>
      </c>
      <c r="S78" s="6" t="n">
        <v>101.8</v>
      </c>
      <c r="T78" s="6" t="n">
        <v>101.53</v>
      </c>
      <c r="U78" s="6" t="n">
        <v>101.18</v>
      </c>
      <c r="V78" s="6" t="n">
        <v>100.94</v>
      </c>
    </row>
    <row r="79" customFormat="false" ht="15" hidden="false" customHeight="false" outlineLevel="0" collapsed="false">
      <c r="A79" s="2" t="s">
        <v>90</v>
      </c>
      <c r="B79" s="2" t="s">
        <v>102</v>
      </c>
      <c r="C79" s="3" t="n">
        <v>25</v>
      </c>
      <c r="D79" s="4" t="n">
        <v>409.27</v>
      </c>
      <c r="E79" s="5" t="n">
        <v>0.03</v>
      </c>
      <c r="F79" s="4" t="n">
        <v>120</v>
      </c>
      <c r="G79" s="6" t="n">
        <v>102.8</v>
      </c>
      <c r="H79" s="6" t="n">
        <v>102.33</v>
      </c>
      <c r="I79" s="6" t="n">
        <v>102.1</v>
      </c>
      <c r="J79" s="6" t="n">
        <v>100.75</v>
      </c>
      <c r="K79" s="6" t="n">
        <v>105.36</v>
      </c>
      <c r="L79" s="6" t="n">
        <v>1.24</v>
      </c>
      <c r="M79" s="6" t="n">
        <v>103.9</v>
      </c>
      <c r="N79" s="6" t="n">
        <v>103.74</v>
      </c>
      <c r="O79" s="6" t="n">
        <v>103.58</v>
      </c>
      <c r="P79" s="6" t="n">
        <v>103.38</v>
      </c>
      <c r="Q79" s="6" t="n">
        <v>103.16</v>
      </c>
      <c r="R79" s="6" t="n">
        <v>102.68</v>
      </c>
      <c r="S79" s="6" t="n">
        <v>102.23</v>
      </c>
      <c r="T79" s="6" t="n">
        <v>102.02</v>
      </c>
      <c r="U79" s="6" t="n">
        <v>101.81</v>
      </c>
      <c r="V79" s="6" t="n">
        <v>101.52</v>
      </c>
    </row>
    <row r="80" customFormat="false" ht="15" hidden="false" customHeight="false" outlineLevel="0" collapsed="false">
      <c r="A80" s="2" t="s">
        <v>90</v>
      </c>
      <c r="B80" s="2" t="s">
        <v>103</v>
      </c>
      <c r="C80" s="3" t="n">
        <v>30</v>
      </c>
      <c r="D80" s="4" t="n">
        <v>412.63</v>
      </c>
      <c r="E80" s="5" t="n">
        <v>0.035</v>
      </c>
      <c r="F80" s="4" t="n">
        <v>115</v>
      </c>
      <c r="G80" s="6" t="n">
        <v>102.89</v>
      </c>
      <c r="H80" s="6" t="n">
        <v>102.35</v>
      </c>
      <c r="I80" s="6" t="n">
        <v>102.33</v>
      </c>
      <c r="J80" s="6" t="n">
        <v>100.76</v>
      </c>
      <c r="K80" s="6" t="n">
        <v>104.9</v>
      </c>
      <c r="L80" s="6" t="n">
        <v>1.24</v>
      </c>
      <c r="M80" s="6" t="n">
        <v>104</v>
      </c>
      <c r="N80" s="6" t="n">
        <v>103.85</v>
      </c>
      <c r="O80" s="6" t="n">
        <v>103.75</v>
      </c>
      <c r="P80" s="6" t="n">
        <v>103.48</v>
      </c>
      <c r="Q80" s="6" t="n">
        <v>103.15</v>
      </c>
      <c r="R80" s="6" t="n">
        <v>102.81</v>
      </c>
      <c r="S80" s="6" t="n">
        <v>102.46</v>
      </c>
      <c r="T80" s="6" t="n">
        <v>102.13</v>
      </c>
      <c r="U80" s="6" t="n">
        <v>101.8</v>
      </c>
      <c r="V80" s="6" t="n">
        <v>101.46</v>
      </c>
    </row>
    <row r="81" customFormat="false" ht="15" hidden="false" customHeight="false" outlineLevel="0" collapsed="false">
      <c r="A81" s="2" t="s">
        <v>90</v>
      </c>
      <c r="B81" s="2" t="s">
        <v>104</v>
      </c>
      <c r="C81" s="3" t="n">
        <v>35</v>
      </c>
      <c r="D81" s="4" t="n">
        <v>415.99</v>
      </c>
      <c r="E81" s="5" t="n">
        <v>0.035</v>
      </c>
      <c r="F81" s="4" t="n">
        <v>120</v>
      </c>
      <c r="G81" s="6" t="n">
        <v>103.29</v>
      </c>
      <c r="H81" s="6" t="n">
        <v>102.56</v>
      </c>
      <c r="I81" s="6" t="n">
        <v>102.4</v>
      </c>
      <c r="J81" s="6" t="n">
        <v>100.8</v>
      </c>
      <c r="K81" s="6" t="n">
        <v>105.35</v>
      </c>
      <c r="L81" s="6" t="n">
        <v>1.4</v>
      </c>
      <c r="M81" s="6" t="n">
        <v>104.65</v>
      </c>
      <c r="N81" s="6" t="n">
        <v>104.32</v>
      </c>
      <c r="O81" s="6" t="n">
        <v>104.15</v>
      </c>
      <c r="P81" s="6" t="n">
        <v>103.9</v>
      </c>
      <c r="Q81" s="6" t="n">
        <v>103.55</v>
      </c>
      <c r="R81" s="6" t="n">
        <v>103.19</v>
      </c>
      <c r="S81" s="6" t="n">
        <v>102.82</v>
      </c>
      <c r="T81" s="6" t="n">
        <v>102.46</v>
      </c>
      <c r="U81" s="6" t="n">
        <v>102.1</v>
      </c>
      <c r="V81" s="6" t="n">
        <v>101.76</v>
      </c>
    </row>
    <row r="82" customFormat="false" ht="15" hidden="false" customHeight="false" outlineLevel="0" collapsed="false">
      <c r="A82" s="2" t="s">
        <v>90</v>
      </c>
      <c r="B82" s="2" t="s">
        <v>105</v>
      </c>
      <c r="C82" s="3" t="n">
        <v>40</v>
      </c>
      <c r="D82" s="4" t="n">
        <v>419.32</v>
      </c>
      <c r="E82" s="5" t="n">
        <v>0.03</v>
      </c>
      <c r="F82" s="4" t="n">
        <v>125</v>
      </c>
      <c r="G82" s="6" t="n">
        <v>104.22</v>
      </c>
      <c r="H82" s="6" t="n">
        <v>102.88</v>
      </c>
      <c r="I82" s="6" t="n">
        <v>102.67</v>
      </c>
      <c r="J82" s="6" t="n">
        <v>101.24</v>
      </c>
      <c r="K82" s="6" t="n">
        <v>104.95</v>
      </c>
      <c r="L82" s="6" t="n">
        <v>1.3</v>
      </c>
      <c r="M82" s="6"/>
      <c r="N82" s="6" t="n">
        <v>104.95</v>
      </c>
      <c r="O82" s="6" t="n">
        <v>104.94</v>
      </c>
      <c r="P82" s="6" t="n">
        <v>104.75</v>
      </c>
      <c r="Q82" s="6" t="n">
        <v>104.56</v>
      </c>
      <c r="R82" s="6" t="n">
        <v>104.34</v>
      </c>
      <c r="S82" s="6" t="n">
        <v>104.11</v>
      </c>
      <c r="T82" s="6" t="n">
        <v>103.78</v>
      </c>
      <c r="U82" s="6" t="n">
        <v>103.45</v>
      </c>
      <c r="V82" s="6" t="n">
        <v>103.09</v>
      </c>
    </row>
    <row r="83" customFormat="false" ht="15" hidden="false" customHeight="false" outlineLevel="0" collapsed="false">
      <c r="A83" s="2" t="s">
        <v>90</v>
      </c>
      <c r="B83" s="2" t="s">
        <v>106</v>
      </c>
      <c r="C83" s="3" t="n">
        <v>45</v>
      </c>
      <c r="D83" s="4" t="n">
        <v>422.68</v>
      </c>
      <c r="E83" s="5" t="n">
        <v>0.04</v>
      </c>
      <c r="F83" s="4" t="n">
        <v>120</v>
      </c>
      <c r="G83" s="6" t="n">
        <v>104.09</v>
      </c>
      <c r="H83" s="6" t="n">
        <v>102.94</v>
      </c>
      <c r="I83" s="6" t="n">
        <v>102.73</v>
      </c>
      <c r="J83" s="6" t="n">
        <v>101.1</v>
      </c>
      <c r="K83" s="6" t="n">
        <v>105.15</v>
      </c>
      <c r="L83" s="6" t="n">
        <v>1.37</v>
      </c>
      <c r="M83" s="6"/>
      <c r="N83" s="6" t="n">
        <v>105.15</v>
      </c>
      <c r="O83" s="6" t="n">
        <v>104.92</v>
      </c>
      <c r="P83" s="6" t="n">
        <v>104.61</v>
      </c>
      <c r="Q83" s="6" t="n">
        <v>104.42</v>
      </c>
      <c r="R83" s="6" t="n">
        <v>104.28</v>
      </c>
      <c r="S83" s="6" t="n">
        <v>103.91</v>
      </c>
      <c r="T83" s="6" t="n">
        <v>103.45</v>
      </c>
      <c r="U83" s="6" t="n">
        <v>103.15</v>
      </c>
      <c r="V83" s="6" t="n">
        <v>102.92</v>
      </c>
    </row>
    <row r="84" customFormat="false" ht="15" hidden="false" customHeight="false" outlineLevel="0" collapsed="false">
      <c r="A84" s="2" t="s">
        <v>90</v>
      </c>
      <c r="B84" s="2" t="s">
        <v>107</v>
      </c>
      <c r="C84" s="3" t="n">
        <v>50</v>
      </c>
      <c r="D84" s="4" t="n">
        <v>426.01</v>
      </c>
      <c r="E84" s="5" t="n">
        <v>0.04</v>
      </c>
      <c r="F84" s="4" t="n">
        <v>120</v>
      </c>
      <c r="G84" s="6" t="n">
        <v>104.32</v>
      </c>
      <c r="H84" s="6" t="n">
        <v>102.89</v>
      </c>
      <c r="I84" s="6" t="n">
        <v>102.56</v>
      </c>
      <c r="J84" s="6" t="n">
        <v>101.16</v>
      </c>
      <c r="K84" s="6" t="n">
        <v>105.27</v>
      </c>
      <c r="L84" s="6" t="n">
        <v>1.46</v>
      </c>
      <c r="M84" s="6"/>
      <c r="N84" s="6" t="n">
        <v>105.27</v>
      </c>
      <c r="O84" s="6" t="n">
        <v>105.22</v>
      </c>
      <c r="P84" s="6" t="n">
        <v>105.09</v>
      </c>
      <c r="Q84" s="6" t="n">
        <v>104.84</v>
      </c>
      <c r="R84" s="6" t="n">
        <v>104.4</v>
      </c>
      <c r="S84" s="6" t="n">
        <v>104.01</v>
      </c>
      <c r="T84" s="6" t="n">
        <v>103.69</v>
      </c>
      <c r="U84" s="6" t="n">
        <v>103.35</v>
      </c>
      <c r="V84" s="6" t="n">
        <v>103</v>
      </c>
    </row>
    <row r="85" customFormat="false" ht="15" hidden="false" customHeight="false" outlineLevel="0" collapsed="false">
      <c r="A85" s="2" t="s">
        <v>90</v>
      </c>
      <c r="B85" s="2" t="s">
        <v>108</v>
      </c>
      <c r="C85" s="3" t="n">
        <v>55</v>
      </c>
      <c r="D85" s="4" t="n">
        <v>429.39</v>
      </c>
      <c r="E85" s="5" t="n">
        <v>0.045</v>
      </c>
      <c r="F85" s="4" t="n">
        <v>120</v>
      </c>
      <c r="G85" s="6" t="n">
        <v>104.57</v>
      </c>
      <c r="H85" s="6" t="n">
        <v>103.09</v>
      </c>
      <c r="I85" s="6" t="n">
        <v>102.77</v>
      </c>
      <c r="J85" s="6" t="n">
        <v>101.2</v>
      </c>
      <c r="K85" s="6" t="n">
        <v>105.56</v>
      </c>
      <c r="L85" s="6" t="n">
        <v>1.55</v>
      </c>
      <c r="M85" s="6" t="n">
        <v>105.56</v>
      </c>
      <c r="N85" s="6" t="n">
        <v>105.55</v>
      </c>
      <c r="O85" s="6" t="n">
        <v>105.42</v>
      </c>
      <c r="P85" s="6" t="n">
        <v>105.27</v>
      </c>
      <c r="Q85" s="6" t="n">
        <v>104.95</v>
      </c>
      <c r="R85" s="6" t="n">
        <v>104.62</v>
      </c>
      <c r="S85" s="6" t="n">
        <v>104.17</v>
      </c>
      <c r="T85" s="6" t="n">
        <v>103.72</v>
      </c>
      <c r="U85" s="6" t="n">
        <v>103.37</v>
      </c>
      <c r="V85" s="6" t="n">
        <v>103.03</v>
      </c>
    </row>
    <row r="86" customFormat="false" ht="15" hidden="false" customHeight="false" outlineLevel="0" collapsed="false">
      <c r="A86" s="2" t="s">
        <v>90</v>
      </c>
      <c r="B86" s="2" t="s">
        <v>109</v>
      </c>
      <c r="C86" s="3" t="n">
        <v>60</v>
      </c>
      <c r="D86" s="4" t="n">
        <v>432.72</v>
      </c>
      <c r="E86" s="5" t="n">
        <v>0.05</v>
      </c>
      <c r="F86" s="4" t="n">
        <v>115</v>
      </c>
      <c r="G86" s="6" t="n">
        <v>104.68</v>
      </c>
      <c r="H86" s="6" t="n">
        <v>103.14</v>
      </c>
      <c r="I86" s="6" t="n">
        <v>102.78</v>
      </c>
      <c r="J86" s="6" t="n">
        <v>101.18</v>
      </c>
      <c r="K86" s="6" t="n">
        <v>105.92</v>
      </c>
      <c r="L86" s="6" t="n">
        <v>1.67</v>
      </c>
      <c r="M86" s="6"/>
      <c r="N86" s="6" t="n">
        <v>105.92</v>
      </c>
      <c r="O86" s="6" t="n">
        <v>105.85</v>
      </c>
      <c r="P86" s="6" t="n">
        <v>105.75</v>
      </c>
      <c r="Q86" s="6" t="n">
        <v>105.25</v>
      </c>
      <c r="R86" s="6" t="n">
        <v>104.6</v>
      </c>
      <c r="S86" s="6" t="n">
        <v>104.21</v>
      </c>
      <c r="T86" s="6" t="n">
        <v>103.92</v>
      </c>
      <c r="U86" s="6" t="n">
        <v>103.54</v>
      </c>
      <c r="V86" s="6" t="n">
        <v>103.12</v>
      </c>
    </row>
    <row r="87" customFormat="false" ht="15" hidden="false" customHeight="false" outlineLevel="0" collapsed="false">
      <c r="A87" s="2" t="s">
        <v>90</v>
      </c>
      <c r="B87" s="2" t="s">
        <v>110</v>
      </c>
      <c r="C87" s="3" t="n">
        <v>65</v>
      </c>
      <c r="D87" s="4" t="n">
        <v>436.08</v>
      </c>
      <c r="E87" s="5" t="n">
        <v>0.06</v>
      </c>
      <c r="F87" s="4" t="n">
        <v>110</v>
      </c>
      <c r="G87" s="6" t="n">
        <v>104.64</v>
      </c>
      <c r="H87" s="6" t="n">
        <v>103.31</v>
      </c>
      <c r="I87" s="6" t="n">
        <v>102.47</v>
      </c>
      <c r="J87" s="6" t="n">
        <v>101.25</v>
      </c>
      <c r="K87" s="6" t="n">
        <v>106.43</v>
      </c>
      <c r="L87" s="6" t="n">
        <v>1.78</v>
      </c>
      <c r="M87" s="6" t="n">
        <v>106.34</v>
      </c>
      <c r="N87" s="6" t="n">
        <v>106.11</v>
      </c>
      <c r="O87" s="6" t="n">
        <v>105.77</v>
      </c>
      <c r="P87" s="6" t="n">
        <v>105.29</v>
      </c>
      <c r="Q87" s="6" t="n">
        <v>104.85</v>
      </c>
      <c r="R87" s="6" t="n">
        <v>104.46</v>
      </c>
      <c r="S87" s="6" t="n">
        <v>104.06</v>
      </c>
      <c r="T87" s="6" t="n">
        <v>103.64</v>
      </c>
      <c r="U87" s="6" t="n">
        <v>103.2</v>
      </c>
      <c r="V87" s="6" t="n">
        <v>102.74</v>
      </c>
    </row>
    <row r="88" customFormat="false" ht="15" hidden="false" customHeight="false" outlineLevel="0" collapsed="false">
      <c r="A88" s="2" t="s">
        <v>90</v>
      </c>
      <c r="B88" s="2" t="s">
        <v>111</v>
      </c>
      <c r="C88" s="3" t="n">
        <v>70</v>
      </c>
      <c r="D88" s="4" t="n">
        <v>439.41</v>
      </c>
      <c r="E88" s="5" t="n">
        <v>0.06</v>
      </c>
      <c r="F88" s="4" t="n">
        <v>115</v>
      </c>
      <c r="G88" s="6" t="n">
        <v>105.12</v>
      </c>
      <c r="H88" s="6" t="n">
        <v>103.53</v>
      </c>
      <c r="I88" s="6" t="n">
        <v>103.43</v>
      </c>
      <c r="J88" s="6" t="n">
        <v>101.61</v>
      </c>
      <c r="K88" s="6" t="n">
        <v>106.21</v>
      </c>
      <c r="L88" s="6" t="n">
        <v>1.58</v>
      </c>
      <c r="M88" s="6"/>
      <c r="N88" s="6" t="n">
        <v>106.21</v>
      </c>
      <c r="O88" s="6" t="n">
        <v>106.19</v>
      </c>
      <c r="P88" s="6" t="n">
        <v>105.88</v>
      </c>
      <c r="Q88" s="6" t="n">
        <v>105.56</v>
      </c>
      <c r="R88" s="6" t="n">
        <v>105.18</v>
      </c>
      <c r="S88" s="6" t="n">
        <v>104.8</v>
      </c>
      <c r="T88" s="6" t="n">
        <v>104.43</v>
      </c>
      <c r="U88" s="6" t="n">
        <v>104.06</v>
      </c>
      <c r="V88" s="6" t="n">
        <v>103.74</v>
      </c>
    </row>
    <row r="89" customFormat="false" ht="15" hidden="false" customHeight="false" outlineLevel="0" collapsed="false">
      <c r="A89" s="2" t="s">
        <v>90</v>
      </c>
      <c r="B89" s="2" t="s">
        <v>112</v>
      </c>
      <c r="C89" s="3" t="n">
        <v>75</v>
      </c>
      <c r="D89" s="4" t="n">
        <v>442.79</v>
      </c>
      <c r="E89" s="5" t="n">
        <v>0.065</v>
      </c>
      <c r="F89" s="4" t="n">
        <v>110</v>
      </c>
      <c r="G89" s="6" t="n">
        <v>105.12</v>
      </c>
      <c r="H89" s="6" t="n">
        <v>103.53</v>
      </c>
      <c r="I89" s="6" t="n">
        <v>102.92</v>
      </c>
      <c r="J89" s="6" t="n">
        <v>101.61</v>
      </c>
      <c r="K89" s="6" t="n">
        <v>106.33</v>
      </c>
      <c r="L89" s="6" t="n">
        <v>1.65</v>
      </c>
      <c r="M89" s="6"/>
      <c r="N89" s="6"/>
      <c r="O89" s="6" t="n">
        <v>106.33</v>
      </c>
      <c r="P89" s="6" t="n">
        <v>106.05</v>
      </c>
      <c r="Q89" s="6" t="n">
        <v>105.67</v>
      </c>
      <c r="R89" s="6" t="n">
        <v>105.36</v>
      </c>
      <c r="S89" s="6" t="n">
        <v>105.07</v>
      </c>
      <c r="T89" s="6" t="n">
        <v>104.63</v>
      </c>
      <c r="U89" s="6" t="n">
        <v>104.12</v>
      </c>
      <c r="V89" s="6" t="n">
        <v>103.7</v>
      </c>
    </row>
    <row r="90" customFormat="false" ht="15" hidden="false" customHeight="false" outlineLevel="0" collapsed="false">
      <c r="A90" s="2" t="s">
        <v>90</v>
      </c>
      <c r="B90" s="2" t="s">
        <v>113</v>
      </c>
      <c r="C90" s="3" t="n">
        <v>80</v>
      </c>
      <c r="D90" s="4" t="n">
        <v>446.12</v>
      </c>
      <c r="E90" s="5" t="n">
        <v>0.07</v>
      </c>
      <c r="F90" s="4" t="n">
        <v>110</v>
      </c>
      <c r="G90" s="6" t="n">
        <v>105.33</v>
      </c>
      <c r="H90" s="6" t="n">
        <v>103.67</v>
      </c>
      <c r="I90" s="6" t="n">
        <v>103.15</v>
      </c>
      <c r="J90" s="6" t="n">
        <v>101.56</v>
      </c>
      <c r="K90" s="6" t="n">
        <v>106.68</v>
      </c>
      <c r="L90" s="6" t="n">
        <v>1.75</v>
      </c>
      <c r="M90" s="6"/>
      <c r="N90" s="6" t="n">
        <v>106.68</v>
      </c>
      <c r="O90" s="6" t="n">
        <v>106.52</v>
      </c>
      <c r="P90" s="6" t="n">
        <v>106.11</v>
      </c>
      <c r="Q90" s="6" t="n">
        <v>105.73</v>
      </c>
      <c r="R90" s="6" t="n">
        <v>105.37</v>
      </c>
      <c r="S90" s="6" t="n">
        <v>105</v>
      </c>
      <c r="T90" s="6" t="n">
        <v>104.6</v>
      </c>
      <c r="U90" s="6" t="n">
        <v>104.19</v>
      </c>
      <c r="V90" s="6" t="n">
        <v>103.75</v>
      </c>
    </row>
    <row r="91" customFormat="false" ht="15" hidden="false" customHeight="false" outlineLevel="0" collapsed="false">
      <c r="A91" s="2" t="s">
        <v>90</v>
      </c>
      <c r="B91" s="2" t="s">
        <v>114</v>
      </c>
      <c r="C91" s="3" t="n">
        <v>85</v>
      </c>
      <c r="D91" s="4" t="n">
        <v>449.48</v>
      </c>
      <c r="E91" s="5" t="n">
        <v>0.075</v>
      </c>
      <c r="F91" s="4" t="n">
        <v>110</v>
      </c>
      <c r="G91" s="6" t="n">
        <v>105.71</v>
      </c>
      <c r="H91" s="6" t="n">
        <v>103.91</v>
      </c>
      <c r="I91" s="6" t="n">
        <v>103.88</v>
      </c>
      <c r="J91" s="6" t="n">
        <v>101.61</v>
      </c>
      <c r="K91" s="6" t="n">
        <v>107.4</v>
      </c>
      <c r="L91" s="6" t="n">
        <v>1.93</v>
      </c>
      <c r="M91" s="6" t="n">
        <v>107.4</v>
      </c>
      <c r="N91" s="6" t="n">
        <v>107.37</v>
      </c>
      <c r="O91" s="6" t="n">
        <v>106.79</v>
      </c>
      <c r="P91" s="6" t="n">
        <v>106.22</v>
      </c>
      <c r="Q91" s="6" t="n">
        <v>105.85</v>
      </c>
      <c r="R91" s="6" t="n">
        <v>105.48</v>
      </c>
      <c r="S91" s="6" t="n">
        <v>105.1</v>
      </c>
      <c r="T91" s="6" t="n">
        <v>104.72</v>
      </c>
      <c r="U91" s="6" t="n">
        <v>104.29</v>
      </c>
      <c r="V91" s="6" t="n">
        <v>103.85</v>
      </c>
    </row>
    <row r="92" customFormat="false" ht="15" hidden="false" customHeight="false" outlineLevel="0" collapsed="false">
      <c r="A92" s="2" t="s">
        <v>90</v>
      </c>
      <c r="B92" s="2" t="s">
        <v>115</v>
      </c>
      <c r="C92" s="3" t="n">
        <v>90</v>
      </c>
      <c r="D92" s="4" t="n">
        <v>452.81</v>
      </c>
      <c r="E92" s="5" t="n">
        <v>0.08</v>
      </c>
      <c r="F92" s="4" t="n">
        <v>120</v>
      </c>
      <c r="G92" s="6" t="n">
        <v>105.57</v>
      </c>
      <c r="H92" s="6" t="n">
        <v>104.07</v>
      </c>
      <c r="I92" s="6" t="n">
        <v>103.62</v>
      </c>
      <c r="J92" s="6" t="n">
        <v>101.56</v>
      </c>
      <c r="K92" s="6" t="n">
        <v>107.27</v>
      </c>
      <c r="L92" s="6" t="n">
        <v>1.95</v>
      </c>
      <c r="M92" s="6"/>
      <c r="N92" s="6" t="n">
        <v>107.27</v>
      </c>
      <c r="O92" s="6" t="n">
        <v>106.93</v>
      </c>
      <c r="P92" s="6" t="n">
        <v>106.45</v>
      </c>
      <c r="Q92" s="6" t="n">
        <v>106.02</v>
      </c>
      <c r="R92" s="6" t="n">
        <v>105.6</v>
      </c>
      <c r="S92" s="6" t="n">
        <v>105.16</v>
      </c>
      <c r="T92" s="6" t="n">
        <v>104.7</v>
      </c>
      <c r="U92" s="6" t="n">
        <v>104.23</v>
      </c>
      <c r="V92" s="6" t="n">
        <v>103.75</v>
      </c>
    </row>
    <row r="93" customFormat="false" ht="15" hidden="false" customHeight="false" outlineLevel="0" collapsed="false">
      <c r="A93" s="2" t="s">
        <v>90</v>
      </c>
      <c r="B93" s="2" t="s">
        <v>116</v>
      </c>
      <c r="C93" s="3" t="n">
        <v>95</v>
      </c>
      <c r="D93" s="4" t="n">
        <v>456.19</v>
      </c>
      <c r="E93" s="5" t="n">
        <v>0.085</v>
      </c>
      <c r="F93" s="4" t="n">
        <v>120</v>
      </c>
      <c r="G93" s="6" t="n">
        <v>105.38</v>
      </c>
      <c r="H93" s="6" t="n">
        <v>103.97</v>
      </c>
      <c r="I93" s="6" t="n">
        <v>103.95</v>
      </c>
      <c r="J93" s="6" t="n">
        <v>101.61</v>
      </c>
      <c r="K93" s="6" t="n">
        <v>107.24</v>
      </c>
      <c r="L93" s="6" t="n">
        <v>1.83</v>
      </c>
      <c r="M93" s="6"/>
      <c r="N93" s="6"/>
      <c r="O93" s="6" t="n">
        <v>106.63</v>
      </c>
      <c r="P93" s="6" t="n">
        <v>106.48</v>
      </c>
      <c r="Q93" s="6" t="n">
        <v>106.08</v>
      </c>
      <c r="R93" s="6" t="n">
        <v>105.69</v>
      </c>
      <c r="S93" s="6" t="n">
        <v>105.29</v>
      </c>
      <c r="T93" s="6" t="n">
        <v>104.83</v>
      </c>
      <c r="U93" s="6" t="n">
        <v>104.29</v>
      </c>
      <c r="V93" s="6" t="n">
        <v>103.77</v>
      </c>
    </row>
    <row r="94" customFormat="false" ht="15" hidden="false" customHeight="false" outlineLevel="0" collapsed="false">
      <c r="A94" s="2" t="s">
        <v>90</v>
      </c>
      <c r="B94" s="2" t="s">
        <v>117</v>
      </c>
      <c r="C94" s="3" t="n">
        <v>100</v>
      </c>
      <c r="D94" s="4" t="n">
        <v>459.52</v>
      </c>
      <c r="E94" s="5" t="n">
        <v>0.09</v>
      </c>
      <c r="F94" s="4" t="n">
        <v>120</v>
      </c>
      <c r="G94" s="6" t="n">
        <v>106.23</v>
      </c>
      <c r="H94" s="6" t="n">
        <v>104.83</v>
      </c>
      <c r="I94" s="6" t="n">
        <v>104.59</v>
      </c>
      <c r="J94" s="6" t="n">
        <v>102.64</v>
      </c>
      <c r="K94" s="6" t="n">
        <v>107.8</v>
      </c>
      <c r="L94" s="6" t="n">
        <v>1.72</v>
      </c>
      <c r="M94" s="6"/>
      <c r="N94" s="6" t="n">
        <v>107.21</v>
      </c>
      <c r="O94" s="6" t="n">
        <v>107.2</v>
      </c>
      <c r="P94" s="6" t="n">
        <v>106.89</v>
      </c>
      <c r="Q94" s="6" t="n">
        <v>106.58</v>
      </c>
      <c r="R94" s="6" t="n">
        <v>106.27</v>
      </c>
      <c r="S94" s="6" t="n">
        <v>105.96</v>
      </c>
      <c r="T94" s="6" t="n">
        <v>105.64</v>
      </c>
      <c r="U94" s="6" t="n">
        <v>105.32</v>
      </c>
      <c r="V94" s="6" t="n">
        <v>104.95</v>
      </c>
    </row>
    <row r="95" customFormat="false" ht="15" hidden="false" customHeight="false" outlineLevel="0" collapsed="false">
      <c r="A95" s="2" t="s">
        <v>90</v>
      </c>
      <c r="B95" s="2" t="s">
        <v>118</v>
      </c>
      <c r="C95" s="3" t="n">
        <v>105</v>
      </c>
      <c r="D95" s="4" t="n">
        <v>462.88</v>
      </c>
      <c r="E95" s="5" t="n">
        <v>0.095</v>
      </c>
      <c r="F95" s="4" t="n">
        <v>115</v>
      </c>
      <c r="G95" s="6" t="n">
        <v>106.55</v>
      </c>
      <c r="H95" s="6" t="n">
        <v>105.11</v>
      </c>
      <c r="I95" s="6" t="n">
        <v>105.09</v>
      </c>
      <c r="J95" s="6" t="n">
        <v>102.69</v>
      </c>
      <c r="K95" s="6" t="n">
        <v>107.6</v>
      </c>
      <c r="L95" s="6" t="n">
        <v>1.79</v>
      </c>
      <c r="M95" s="6" t="n">
        <v>107.6</v>
      </c>
      <c r="N95" s="6" t="n">
        <v>107.46</v>
      </c>
      <c r="O95" s="6" t="n">
        <v>107.26</v>
      </c>
      <c r="P95" s="6" t="n">
        <v>107.09</v>
      </c>
      <c r="Q95" s="6" t="n">
        <v>106.94</v>
      </c>
      <c r="R95" s="6" t="n">
        <v>106.62</v>
      </c>
      <c r="S95" s="6" t="n">
        <v>106.22</v>
      </c>
      <c r="T95" s="6" t="n">
        <v>105.82</v>
      </c>
      <c r="U95" s="6" t="n">
        <v>105.43</v>
      </c>
      <c r="V95" s="6" t="n">
        <v>105.02</v>
      </c>
    </row>
    <row r="96" customFormat="false" ht="15" hidden="false" customHeight="false" outlineLevel="0" collapsed="false">
      <c r="A96" s="2" t="s">
        <v>90</v>
      </c>
      <c r="B96" s="2" t="s">
        <v>119</v>
      </c>
      <c r="C96" s="3" t="n">
        <v>110</v>
      </c>
      <c r="D96" s="4" t="n">
        <v>466.21</v>
      </c>
      <c r="E96" s="5" t="n">
        <v>0.1</v>
      </c>
      <c r="F96" s="4" t="n">
        <v>115</v>
      </c>
      <c r="G96" s="6" t="n">
        <v>106.41</v>
      </c>
      <c r="H96" s="6" t="n">
        <v>104.76</v>
      </c>
      <c r="I96" s="6" t="n">
        <v>104.35</v>
      </c>
      <c r="J96" s="6" t="n">
        <v>102.24</v>
      </c>
      <c r="K96" s="6" t="n">
        <v>107.63</v>
      </c>
      <c r="L96" s="6" t="n">
        <v>1.96</v>
      </c>
      <c r="M96" s="6"/>
      <c r="N96" s="6" t="n">
        <v>107.63</v>
      </c>
      <c r="O96" s="6" t="n">
        <v>107.59</v>
      </c>
      <c r="P96" s="6" t="n">
        <v>107.48</v>
      </c>
      <c r="Q96" s="6" t="n">
        <v>107.17</v>
      </c>
      <c r="R96" s="6" t="n">
        <v>106.56</v>
      </c>
      <c r="S96" s="6" t="n">
        <v>106.01</v>
      </c>
      <c r="T96" s="6" t="n">
        <v>105.56</v>
      </c>
      <c r="U96" s="6" t="n">
        <v>105.11</v>
      </c>
      <c r="V96" s="6" t="n">
        <v>104.64</v>
      </c>
    </row>
    <row r="97" customFormat="false" ht="15" hidden="false" customHeight="false" outlineLevel="0" collapsed="false">
      <c r="A97" s="2" t="s">
        <v>90</v>
      </c>
      <c r="B97" s="2" t="s">
        <v>120</v>
      </c>
      <c r="C97" s="3" t="n">
        <v>115</v>
      </c>
      <c r="D97" s="4" t="n">
        <v>469.61</v>
      </c>
      <c r="E97" s="5" t="n">
        <v>0.105</v>
      </c>
      <c r="F97" s="4" t="n">
        <v>110</v>
      </c>
      <c r="G97" s="6" t="n">
        <v>106.92</v>
      </c>
      <c r="H97" s="6" t="n">
        <v>105.01</v>
      </c>
      <c r="I97" s="6" t="n">
        <v>104.7</v>
      </c>
      <c r="J97" s="6" t="n">
        <v>102.49</v>
      </c>
      <c r="K97" s="6" t="n">
        <v>109.14</v>
      </c>
      <c r="L97" s="6" t="n">
        <v>2.18</v>
      </c>
      <c r="M97" s="6" t="n">
        <v>109.14</v>
      </c>
      <c r="N97" s="6" t="n">
        <v>109.1</v>
      </c>
      <c r="O97" s="6" t="n">
        <v>108.18</v>
      </c>
      <c r="P97" s="6" t="n">
        <v>107.28</v>
      </c>
      <c r="Q97" s="6" t="n">
        <v>107.02</v>
      </c>
      <c r="R97" s="6" t="n">
        <v>106.74</v>
      </c>
      <c r="S97" s="6" t="n">
        <v>106.2</v>
      </c>
      <c r="T97" s="6" t="n">
        <v>105.66</v>
      </c>
      <c r="U97" s="6" t="n">
        <v>105.17</v>
      </c>
      <c r="V97" s="6" t="n">
        <v>104.68</v>
      </c>
    </row>
    <row r="98" customFormat="false" ht="15" hidden="false" customHeight="false" outlineLevel="0" collapsed="false">
      <c r="A98" s="2" t="s">
        <v>90</v>
      </c>
      <c r="B98" s="2" t="s">
        <v>121</v>
      </c>
      <c r="C98" s="3" t="n">
        <v>120</v>
      </c>
      <c r="D98" s="4" t="n">
        <v>472.93</v>
      </c>
      <c r="E98" s="5" t="n">
        <v>0.11</v>
      </c>
      <c r="F98" s="4" t="n">
        <v>110</v>
      </c>
      <c r="G98" s="6" t="n">
        <v>106.64</v>
      </c>
      <c r="H98" s="6" t="n">
        <v>105.08</v>
      </c>
      <c r="I98" s="6" t="n">
        <v>104.87</v>
      </c>
      <c r="J98" s="6" t="n">
        <v>102.57</v>
      </c>
      <c r="K98" s="6" t="n">
        <v>107.93</v>
      </c>
      <c r="L98" s="6" t="n">
        <v>1.96</v>
      </c>
      <c r="M98" s="6"/>
      <c r="N98" s="6" t="n">
        <v>107.93</v>
      </c>
      <c r="O98" s="6" t="n">
        <v>107.78</v>
      </c>
      <c r="P98" s="6" t="n">
        <v>107.57</v>
      </c>
      <c r="Q98" s="6" t="n">
        <v>107.22</v>
      </c>
      <c r="R98" s="6" t="n">
        <v>106.81</v>
      </c>
      <c r="S98" s="6" t="n">
        <v>106.35</v>
      </c>
      <c r="T98" s="6" t="n">
        <v>105.87</v>
      </c>
      <c r="U98" s="6" t="n">
        <v>105.38</v>
      </c>
      <c r="V98" s="6" t="n">
        <v>104.89</v>
      </c>
    </row>
    <row r="99" customFormat="false" ht="15" hidden="false" customHeight="false" outlineLevel="0" collapsed="false">
      <c r="A99" s="2" t="s">
        <v>90</v>
      </c>
      <c r="B99" s="2" t="s">
        <v>122</v>
      </c>
      <c r="C99" s="3" t="n">
        <v>125</v>
      </c>
      <c r="D99" s="4" t="n">
        <v>476.3</v>
      </c>
      <c r="E99" s="5" t="n">
        <v>0.115</v>
      </c>
      <c r="F99" s="4" t="n">
        <v>110</v>
      </c>
      <c r="G99" s="6" t="n">
        <v>106.91</v>
      </c>
      <c r="H99" s="6" t="n">
        <v>105.3</v>
      </c>
      <c r="I99" s="6" t="n">
        <v>105.13</v>
      </c>
      <c r="J99" s="6" t="n">
        <v>102.71</v>
      </c>
      <c r="K99" s="6" t="n">
        <v>108.13</v>
      </c>
      <c r="L99" s="6" t="n">
        <v>2.02</v>
      </c>
      <c r="M99" s="6" t="n">
        <v>108.13</v>
      </c>
      <c r="N99" s="6" t="n">
        <v>108.08</v>
      </c>
      <c r="O99" s="6" t="n">
        <v>107.92</v>
      </c>
      <c r="P99" s="6" t="n">
        <v>107.7</v>
      </c>
      <c r="Q99" s="6" t="n">
        <v>107.37</v>
      </c>
      <c r="R99" s="6" t="n">
        <v>106.98</v>
      </c>
      <c r="S99" s="6" t="n">
        <v>106.5</v>
      </c>
      <c r="T99" s="6" t="n">
        <v>105.99</v>
      </c>
      <c r="U99" s="6" t="n">
        <v>105.46</v>
      </c>
      <c r="V99" s="6" t="n">
        <v>104.94</v>
      </c>
    </row>
    <row r="100" customFormat="false" ht="15" hidden="false" customHeight="false" outlineLevel="0" collapsed="false">
      <c r="A100" s="2" t="s">
        <v>90</v>
      </c>
      <c r="B100" s="2" t="s">
        <v>123</v>
      </c>
      <c r="C100" s="3" t="n">
        <v>130</v>
      </c>
      <c r="D100" s="4" t="n">
        <v>479.64</v>
      </c>
      <c r="E100" s="5" t="n">
        <v>0.12</v>
      </c>
      <c r="F100" s="4" t="n">
        <v>110</v>
      </c>
      <c r="G100" s="6" t="n">
        <v>107.2</v>
      </c>
      <c r="H100" s="6" t="n">
        <v>105.69</v>
      </c>
      <c r="I100" s="6" t="n">
        <v>105.74</v>
      </c>
      <c r="J100" s="6" t="n">
        <v>103.39</v>
      </c>
      <c r="K100" s="6" t="n">
        <v>108.29</v>
      </c>
      <c r="L100" s="6" t="n">
        <v>1.75</v>
      </c>
      <c r="M100" s="6"/>
      <c r="N100" s="6" t="n">
        <v>108.29</v>
      </c>
      <c r="O100" s="6" t="n">
        <v>108.28</v>
      </c>
      <c r="P100" s="6" t="n">
        <v>107.99</v>
      </c>
      <c r="Q100" s="6" t="n">
        <v>107.7</v>
      </c>
      <c r="R100" s="6" t="n">
        <v>107.3</v>
      </c>
      <c r="S100" s="6" t="n">
        <v>106.89</v>
      </c>
      <c r="T100" s="6" t="n">
        <v>106.51</v>
      </c>
      <c r="U100" s="6" t="n">
        <v>106.12</v>
      </c>
      <c r="V100" s="6" t="n">
        <v>105.72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7"/>
    <col collapsed="false" customWidth="true" hidden="false" outlineLevel="0" max="6" min="6" style="0" width="15"/>
    <col collapsed="false" customWidth="true" hidden="false" outlineLevel="0" max="11" min="7" style="0" width="12"/>
  </cols>
  <sheetData>
    <row r="1" customFormat="false" ht="15" hidden="false" customHeight="false" outlineLevel="0" collapsed="false">
      <c r="A1" s="7" t="s">
        <v>124</v>
      </c>
    </row>
    <row r="3" customFormat="false" ht="23.85" hidden="false" customHeight="false" outlineLevel="0" collapsed="false">
      <c r="A3" s="1" t="s">
        <v>125</v>
      </c>
      <c r="B3" s="1" t="s">
        <v>126</v>
      </c>
      <c r="C3" s="1" t="s">
        <v>127</v>
      </c>
      <c r="D3" s="1" t="s">
        <v>128</v>
      </c>
      <c r="E3" s="1" t="s">
        <v>129</v>
      </c>
      <c r="F3" s="1" t="s">
        <v>130</v>
      </c>
      <c r="G3" s="1" t="s">
        <v>131</v>
      </c>
      <c r="H3" s="1" t="s">
        <v>132</v>
      </c>
      <c r="I3" s="1" t="s">
        <v>133</v>
      </c>
      <c r="J3" s="1" t="s">
        <v>134</v>
      </c>
      <c r="K3" s="1" t="s">
        <v>135</v>
      </c>
    </row>
    <row r="4" customFormat="false" ht="15" hidden="false" customHeight="false" outlineLevel="0" collapsed="false">
      <c r="A4" s="2" t="s">
        <v>22</v>
      </c>
      <c r="B4" s="3" t="n">
        <f aca="false">COUNTIF(Measurements!$A$2:$A$100,"dill_till")</f>
        <v>33</v>
      </c>
      <c r="C4" s="2" t="s">
        <v>136</v>
      </c>
      <c r="D4" s="4" t="n">
        <f aca="false">AVERAGEIF(Measurements!$A$2:$A$100,"dill_till",Measurements!$D$2:$D$100)</f>
        <v>375.531515151515</v>
      </c>
      <c r="E4" s="4" t="n">
        <f aca="false">AVERAGEIF(Measurements!$A$2:$A$100,"dill_till",Measurements!$F$2:$F$100)</f>
        <v>231.515151515152</v>
      </c>
      <c r="F4" s="4" t="n">
        <f aca="false">AVERAGEIF(Measurements!$A$2:$A$100,"dill_till",Measurements!$G$2:$G$100)</f>
        <v>104.695151515152</v>
      </c>
      <c r="G4" s="4" t="n">
        <f aca="false">_xlfn.MINIFS(Measurements!$G$2:$G$100,Measurements!$A$2:$A$100,"dill_till")</f>
        <v>101.8</v>
      </c>
      <c r="H4" s="4" t="n">
        <f aca="false">_xlfn.MAXIFS(Measurements!$G$2:$G$100,Measurements!$A$2:$A$100,"dill_till")</f>
        <v>106.98</v>
      </c>
      <c r="I4" s="4" t="n">
        <f aca="false">AVERAGEIF(Measurements!$A$2:$A$100,"dill_till",Measurements!$H$2:$H$100)</f>
        <v>99.4166666666667</v>
      </c>
      <c r="J4" s="4" t="n">
        <f aca="false">_xlfn.MINIFS(Measurements!$H$2:$H$100,Measurements!$A$2:$A$100,"dill_till")</f>
        <v>98.7</v>
      </c>
      <c r="K4" s="4" t="n">
        <f aca="false">_xlfn.MAXIFS(Measurements!$H$2:$H$100,Measurements!$A$2:$A$100,"dill_till")</f>
        <v>100.03</v>
      </c>
    </row>
    <row r="5" customFormat="false" ht="15" hidden="false" customHeight="false" outlineLevel="0" collapsed="false">
      <c r="A5" s="2" t="s">
        <v>56</v>
      </c>
      <c r="B5" s="3" t="n">
        <f aca="false">COUNTIF(Measurements!$A$2:$A$100,"din_tin")</f>
        <v>33</v>
      </c>
      <c r="C5" s="2" t="s">
        <v>136</v>
      </c>
      <c r="D5" s="4" t="n">
        <f aca="false">AVERAGEIF(Measurements!$A$2:$A$100,"din_tin",Measurements!$D$2:$D$100)</f>
        <v>364.73696969697</v>
      </c>
      <c r="E5" s="4" t="n">
        <f aca="false">AVERAGEIF(Measurements!$A$2:$A$100,"din_tin",Measurements!$F$2:$F$100)</f>
        <v>151.666666666667</v>
      </c>
      <c r="F5" s="4" t="n">
        <f aca="false">AVERAGEIF(Measurements!$A$2:$A$100,"din_tin",Measurements!$G$2:$G$100)</f>
        <v>106.025454545455</v>
      </c>
      <c r="G5" s="4" t="n">
        <f aca="false">_xlfn.MINIFS(Measurements!$G$2:$G$100,Measurements!$A$2:$A$100,"din_tin")</f>
        <v>101.64</v>
      </c>
      <c r="H5" s="4" t="n">
        <f aca="false">_xlfn.MAXIFS(Measurements!$G$2:$G$100,Measurements!$A$2:$A$100,"din_tin")</f>
        <v>109.75</v>
      </c>
      <c r="I5" s="4" t="n">
        <f aca="false">AVERAGEIF(Measurements!$A$2:$A$100,"din_tin",Measurements!$H$2:$H$100)</f>
        <v>102.119696969697</v>
      </c>
      <c r="J5" s="4" t="n">
        <f aca="false">_xlfn.MINIFS(Measurements!$H$2:$H$100,Measurements!$A$2:$A$100,"din_tin")</f>
        <v>100.5</v>
      </c>
      <c r="K5" s="4" t="n">
        <f aca="false">_xlfn.MAXIFS(Measurements!$H$2:$H$100,Measurements!$A$2:$A$100,"din_tin")</f>
        <v>104.05</v>
      </c>
    </row>
    <row r="6" customFormat="false" ht="15" hidden="false" customHeight="false" outlineLevel="0" collapsed="false">
      <c r="A6" s="2" t="s">
        <v>90</v>
      </c>
      <c r="B6" s="3" t="n">
        <f aca="false">COUNTIF(Measurements!$A$2:$A$100,"dip_tip")</f>
        <v>33</v>
      </c>
      <c r="C6" s="2" t="s">
        <v>136</v>
      </c>
      <c r="D6" s="4" t="n">
        <f aca="false">AVERAGEIF(Measurements!$A$2:$A$100,"dip_tip",Measurements!$D$2:$D$100)</f>
        <v>435.090606060606</v>
      </c>
      <c r="E6" s="4" t="n">
        <f aca="false">AVERAGEIF(Measurements!$A$2:$A$100,"dip_tip",Measurements!$F$2:$F$100)</f>
        <v>114.242424242424</v>
      </c>
      <c r="F6" s="4" t="n">
        <f aca="false">AVERAGEIF(Measurements!$A$2:$A$100,"dip_tip",Measurements!$G$2:$G$100)</f>
        <v>104.158787878788</v>
      </c>
      <c r="G6" s="4" t="n">
        <f aca="false">_xlfn.MINIFS(Measurements!$G$2:$G$100,Measurements!$A$2:$A$100,"dip_tip")</f>
        <v>101.46</v>
      </c>
      <c r="H6" s="4" t="n">
        <f aca="false">_xlfn.MAXIFS(Measurements!$G$2:$G$100,Measurements!$A$2:$A$100,"dip_tip")</f>
        <v>107.2</v>
      </c>
      <c r="I6" s="4" t="n">
        <f aca="false">AVERAGEIF(Measurements!$A$2:$A$100,"dip_tip",Measurements!$H$2:$H$100)</f>
        <v>103.181515151515</v>
      </c>
      <c r="J6" s="4" t="n">
        <f aca="false">_xlfn.MINIFS(Measurements!$H$2:$H$100,Measurements!$A$2:$A$100,"dip_tip")</f>
        <v>101.67</v>
      </c>
      <c r="K6" s="4" t="n">
        <f aca="false">_xlfn.MAXIFS(Measurements!$H$2:$H$100,Measurements!$A$2:$A$100,"dip_tip")</f>
        <v>105.69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8" t="s">
        <v>137</v>
      </c>
    </row>
    <row r="2" customFormat="false" ht="15" hidden="false" customHeight="false" outlineLevel="0" collapsed="false">
      <c r="A2" s="9"/>
    </row>
    <row r="3" customFormat="false" ht="15" hidden="false" customHeight="false" outlineLevel="0" collapsed="false">
      <c r="A3" s="9" t="s">
        <v>138</v>
      </c>
    </row>
    <row r="4" customFormat="false" ht="15" hidden="false" customHeight="false" outlineLevel="0" collapsed="false">
      <c r="A4" s="9" t="s">
        <v>139</v>
      </c>
    </row>
    <row r="5" customFormat="false" ht="15" hidden="false" customHeight="false" outlineLevel="0" collapsed="false">
      <c r="A5" s="9"/>
    </row>
    <row r="6" customFormat="false" ht="15" hidden="false" customHeight="false" outlineLevel="0" collapsed="false">
      <c r="A6" s="10" t="s">
        <v>140</v>
      </c>
    </row>
    <row r="7" customFormat="false" ht="35.05" hidden="false" customHeight="false" outlineLevel="0" collapsed="false">
      <c r="A7" s="9" t="s">
        <v>141</v>
      </c>
    </row>
    <row r="8" customFormat="false" ht="15" hidden="false" customHeight="false" outlineLevel="0" collapsed="false">
      <c r="A8" s="9"/>
    </row>
    <row r="9" customFormat="false" ht="15" hidden="false" customHeight="false" outlineLevel="0" collapsed="false">
      <c r="A9" s="10" t="s">
        <v>142</v>
      </c>
    </row>
    <row r="10" customFormat="false" ht="23.85" hidden="false" customHeight="false" outlineLevel="0" collapsed="false">
      <c r="A10" s="9" t="s">
        <v>143</v>
      </c>
    </row>
    <row r="11" customFormat="false" ht="23.85" hidden="false" customHeight="false" outlineLevel="0" collapsed="false">
      <c r="A11" s="9" t="s">
        <v>144</v>
      </c>
    </row>
    <row r="12" customFormat="false" ht="35.05" hidden="false" customHeight="false" outlineLevel="0" collapsed="false">
      <c r="A12" s="9" t="s">
        <v>145</v>
      </c>
    </row>
    <row r="13" customFormat="false" ht="23.85" hidden="false" customHeight="false" outlineLevel="0" collapsed="false">
      <c r="A13" s="9" t="s">
        <v>146</v>
      </c>
    </row>
    <row r="14" customFormat="false" ht="15" hidden="false" customHeight="false" outlineLevel="0" collapsed="false">
      <c r="A14" s="9"/>
    </row>
    <row r="15" customFormat="false" ht="15" hidden="false" customHeight="false" outlineLevel="0" collapsed="false">
      <c r="A15" s="10" t="s">
        <v>147</v>
      </c>
    </row>
    <row r="16" customFormat="false" ht="35.05" hidden="false" customHeight="false" outlineLevel="0" collapsed="false">
      <c r="A16" s="9" t="s">
        <v>148</v>
      </c>
    </row>
    <row r="17" customFormat="false" ht="15" hidden="false" customHeight="false" outlineLevel="0" collapsed="false">
      <c r="A17" s="9" t="s">
        <v>149</v>
      </c>
    </row>
    <row r="18" customFormat="false" ht="23.85" hidden="false" customHeight="false" outlineLevel="0" collapsed="false">
      <c r="A18" s="9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2026-08-19T02:11:05Z</dcterms:created>
  <dc:creator>openpyxl</dc:creator>
  <dc:description/>
  <dc:language>en-US</dc:language>
  <cp:lastModifiedBy/>
  <dcterms:modified xsi:type="dcterms:W3CDTF">2026-08-19T02:11:05Z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